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ted IS" sheetId="1" state="visible" r:id="rId3"/>
    <sheet name="Consolidated BS" sheetId="2" state="visible" r:id="rId4"/>
    <sheet name="Consolidation" sheetId="3" state="visible" r:id="rId5"/>
    <sheet name="Eliminations" sheetId="4" state="visible" r:id="rId6"/>
    <sheet name="Translation" sheetId="5" state="visible" r:id="rId7"/>
    <sheet name="Trial Balances" sheetId="6" state="visible" r:id="rId8"/>
    <sheet name="Inputs" sheetId="7" state="visible" r:id="rId9"/>
    <sheet name="Check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<sst xmlns="http://schemas.openxmlformats.org/spreadsheetml/2006/main" count="263" uniqueCount="123">
  <si>
    <t xml:space="preserve">Illustrative Group</t>
  </si>
  <si>
    <t xml:space="preserve">Consolidated income statement for the year ended 31 December 2025</t>
  </si>
  <si>
    <t xml:space="preserve">USD thousands</t>
  </si>
  <si>
    <t xml:space="preserve">2025</t>
  </si>
  <si>
    <t xml:space="preserve">Revenue</t>
  </si>
  <si>
    <t xml:space="preserve">Cost of sales</t>
  </si>
  <si>
    <t xml:space="preserve">Gross profit</t>
  </si>
  <si>
    <t xml:space="preserve">Operating expenses</t>
  </si>
  <si>
    <t xml:space="preserve">Operating profit</t>
  </si>
  <si>
    <t xml:space="preserve">Interest expense</t>
  </si>
  <si>
    <t xml:space="preserve">Profit before tax</t>
  </si>
  <si>
    <t xml:space="preserve">Income tax expense</t>
  </si>
  <si>
    <t xml:space="preserve">Profit for the year</t>
  </si>
  <si>
    <t xml:space="preserve">Attributable to owners of the parent</t>
  </si>
  <si>
    <t xml:space="preserve">Attributable to non-controlling interests</t>
  </si>
  <si>
    <t xml:space="preserve">Unrealised profit is eliminated in full against the seller (Sub One, 100% owned), so it has no NCI effect.</t>
  </si>
  <si>
    <t xml:space="preserve">Consolidated balance sheet at 31 December 2025</t>
  </si>
  <si>
    <t xml:space="preserve">Goodwill</t>
  </si>
  <si>
    <t xml:space="preserve">Property, plant and equipment</t>
  </si>
  <si>
    <t xml:space="preserve">Total non-current assets</t>
  </si>
  <si>
    <t xml:space="preserve">Inventory</t>
  </si>
  <si>
    <t xml:space="preserve">Trade receivables</t>
  </si>
  <si>
    <t xml:space="preserve">Intercompany receivable (eliminated)</t>
  </si>
  <si>
    <t xml:space="preserve">Cash</t>
  </si>
  <si>
    <t xml:space="preserve">Total current assets</t>
  </si>
  <si>
    <t xml:space="preserve">Total assets</t>
  </si>
  <si>
    <t xml:space="preserve">Share capital</t>
  </si>
  <si>
    <t xml:space="preserve">Retained earnings</t>
  </si>
  <si>
    <t xml:space="preserve">Translation reserve</t>
  </si>
  <si>
    <t xml:space="preserve">Equity attributable to owners of the parent</t>
  </si>
  <si>
    <t xml:space="preserve">Non-controlling interests</t>
  </si>
  <si>
    <t xml:space="preserve">Total equity</t>
  </si>
  <si>
    <t xml:space="preserve">Borrowings</t>
  </si>
  <si>
    <t xml:space="preserve">Trade payables</t>
  </si>
  <si>
    <t xml:space="preserve">Intercompany payable (eliminated)</t>
  </si>
  <si>
    <t xml:space="preserve">Total liabilities</t>
  </si>
  <si>
    <t xml:space="preserve">Total equity and liabilities</t>
  </si>
  <si>
    <t xml:space="preserve">Check: assets less equity and liabilities</t>
  </si>
  <si>
    <t xml:space="preserve">Consolidation worksheet (debit +, credit -)</t>
  </si>
  <si>
    <t xml:space="preserve">Code</t>
  </si>
  <si>
    <t xml:space="preserve">Account</t>
  </si>
  <si>
    <t xml:space="preserve">PARENT (USD)</t>
  </si>
  <si>
    <t xml:space="preserve">SUB1 (USD)</t>
  </si>
  <si>
    <t xml:space="preserve">SUB2 (USD)</t>
  </si>
  <si>
    <t xml:space="preserve">Aggregate</t>
  </si>
  <si>
    <t xml:space="preserve">Eliminations</t>
  </si>
  <si>
    <t xml:space="preserve">Consolidated</t>
  </si>
  <si>
    <t xml:space="preserve">Intercompany receivable</t>
  </si>
  <si>
    <t xml:space="preserve">Investment in subsidiaries</t>
  </si>
  <si>
    <t xml:space="preserve">Intercompany payable</t>
  </si>
  <si>
    <t xml:space="preserve">Retained earnings (opening)</t>
  </si>
  <si>
    <t xml:space="preserve">Intercompany revenue</t>
  </si>
  <si>
    <t xml:space="preserve">Intercompany purchases</t>
  </si>
  <si>
    <t xml:space="preserve">Check (should be zero)</t>
  </si>
  <si>
    <t xml:space="preserve">Consolidation adjustments (debit +, credit -)</t>
  </si>
  <si>
    <t xml:space="preserve">#</t>
  </si>
  <si>
    <t xml:space="preserve">Description</t>
  </si>
  <si>
    <t xml:space="preserve">Amount</t>
  </si>
  <si>
    <t xml:space="preserve">Investment in Subsidiary One (US)</t>
  </si>
  <si>
    <t xml:space="preserve">Investment in Subsidiary Two (Germany)</t>
  </si>
  <si>
    <t xml:space="preserve">NCI share of Subsidiary Two (Germany) post-acquisition reserves</t>
  </si>
  <si>
    <t xml:space="preserve">Intercompany balance: Parent owes Sub One for goods bought</t>
  </si>
  <si>
    <t xml:space="preserve">Intercompany balance: Loan from Parent to Sub Two (EUR 500)</t>
  </si>
  <si>
    <t xml:space="preserve">Intercompany sale: Goods sold by Sub One to Parent</t>
  </si>
  <si>
    <t xml:space="preserve">Unrealised profit in inventory: Parent still holds 200 of goods from Sub One; Sub One margin 25%</t>
  </si>
  <si>
    <t xml:space="preserve">Total (should be zero)</t>
  </si>
  <si>
    <t xml:space="preserve">Translation into USD</t>
  </si>
  <si>
    <t xml:space="preserve">PARENT local</t>
  </si>
  <si>
    <t xml:space="preserve">PARENT rate</t>
  </si>
  <si>
    <t xml:space="preserve">PARENT USD</t>
  </si>
  <si>
    <t xml:space="preserve">SUB1 local</t>
  </si>
  <si>
    <t xml:space="preserve">SUB1 rate</t>
  </si>
  <si>
    <t xml:space="preserve">SUB1 USD</t>
  </si>
  <si>
    <t xml:space="preserve">SUB2 local</t>
  </si>
  <si>
    <t xml:space="preserve">SUB2 rate</t>
  </si>
  <si>
    <t xml:space="preserve">SUB2 USD</t>
  </si>
  <si>
    <t xml:space="preserve">Assets and liabilities at closing rate, income and expenses at average rate, share capital at historical rate, opening retained earnings at the USD amount carried forward. The translation reserve balances the translated trial balance.</t>
  </si>
  <si>
    <t xml:space="preserve">Entity trial balances in local currency (debit +, credit -)</t>
  </si>
  <si>
    <t xml:space="preserve">thousands of local currency</t>
  </si>
  <si>
    <t xml:space="preserve">Type</t>
  </si>
  <si>
    <t xml:space="preserve">SUB2 (EUR)</t>
  </si>
  <si>
    <t xml:space="preserve">A</t>
  </si>
  <si>
    <t xml:space="preserve">L</t>
  </si>
  <si>
    <t xml:space="preserve">E</t>
  </si>
  <si>
    <t xml:space="preserve">I</t>
  </si>
  <si>
    <t xml:space="preserve">X</t>
  </si>
  <si>
    <t xml:space="preserve">Group structure, exchange rates and intercompany data</t>
  </si>
  <si>
    <t xml:space="preserve">Entity</t>
  </si>
  <si>
    <t xml:space="preserve">Name</t>
  </si>
  <si>
    <t xml:space="preserve">Currency</t>
  </si>
  <si>
    <t xml:space="preserve">Ownership</t>
  </si>
  <si>
    <t xml:space="preserve">Investment cost</t>
  </si>
  <si>
    <t xml:space="preserve">Pre-acq. retained earnings</t>
  </si>
  <si>
    <t xml:space="preserve">Opening RE (USD)</t>
  </si>
  <si>
    <t xml:space="preserve">PARENT</t>
  </si>
  <si>
    <t xml:space="preserve">Parent Co.</t>
  </si>
  <si>
    <t xml:space="preserve">USD</t>
  </si>
  <si>
    <t xml:space="preserve">SUB1</t>
  </si>
  <si>
    <t xml:space="preserve">Subsidiary One (US)</t>
  </si>
  <si>
    <t xml:space="preserve">SUB2</t>
  </si>
  <si>
    <t xml:space="preserve">Subsidiary Two (Germany)</t>
  </si>
  <si>
    <t xml:space="preserve">EUR</t>
  </si>
  <si>
    <t xml:space="preserve">Closing</t>
  </si>
  <si>
    <t xml:space="preserve">Average</t>
  </si>
  <si>
    <t xml:space="preserve">Historical</t>
  </si>
  <si>
    <t xml:space="preserve">From</t>
  </si>
  <si>
    <t xml:space="preserve">To</t>
  </si>
  <si>
    <t xml:space="preserve">Amount (USD)</t>
  </si>
  <si>
    <t xml:space="preserve">balance</t>
  </si>
  <si>
    <t xml:space="preserve">Parent owes Sub One for goods bought</t>
  </si>
  <si>
    <t xml:space="preserve">Loan from Parent to Sub Two (EUR 500)</t>
  </si>
  <si>
    <t xml:space="preserve">sale</t>
  </si>
  <si>
    <t xml:space="preserve">Goods sold by Sub One to Parent</t>
  </si>
  <si>
    <t xml:space="preserve">unrealised_profit</t>
  </si>
  <si>
    <t xml:space="preserve">Parent still holds 200 of goods from Sub One; Sub One margin 25%</t>
  </si>
  <si>
    <t xml:space="preserve">Checks (all should be zero)</t>
  </si>
  <si>
    <t xml:space="preserve">Entity trial balances balance</t>
  </si>
  <si>
    <t xml:space="preserve">Elimination journal balances</t>
  </si>
  <si>
    <t xml:space="preserve">Consolidation worksheet balances</t>
  </si>
  <si>
    <t xml:space="preserve">Intercompany receivables and payables fully eliminated</t>
  </si>
  <si>
    <t xml:space="preserve">Intercompany sales and purchases fully eliminated</t>
  </si>
  <si>
    <t xml:space="preserve">Balance sheet balances</t>
  </si>
  <si>
    <t xml:space="preserve">All checks pass?</t>
  </si>
</sst>
</file>

<file path=xl/styles.xml><?xml version="1.0" encoding="utf-8"?>
<styleSheet xmlns="http://schemas.openxmlformats.org/spreadsheetml/2006/main">
  <numFmts count="4">
    <numFmt numFmtId="164" formatCode="General"/>
    <numFmt numFmtId="165" formatCode="#,##0;\(#,##0\);\-"/>
    <numFmt numFmtId="166" formatCode="0.0000"/>
    <numFmt numFmtId="167" formatCode="0%"/>
  </numFmts>
  <fonts count="12">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b val="true"/>
      <sz val="12"/>
      <color rgb="FF000000"/>
      <name val="Arial"/>
      <family val="0"/>
      <charset val="1"/>
    </font>
    <font>
      <i val="true"/>
      <sz val="10"/>
      <color rgb="FF595959"/>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sz val="10"/>
      <color rgb="FF008000"/>
      <name val="Arial"/>
      <family val="0"/>
      <charset val="1"/>
    </font>
    <font>
      <sz val="10"/>
      <color rgb="FF0000FF"/>
      <name val="Arial"/>
      <family val="0"/>
      <charset val="1"/>
    </font>
  </fonts>
  <fills count="3">
    <fill>
      <patternFill patternType="none"/>
    </fill>
    <fill>
      <patternFill patternType="gray125"/>
    </fill>
    <fill>
      <patternFill patternType="solid">
        <fgColor rgb="FF1F4E78"/>
        <bgColor rgb="FF003366"/>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9" fillId="0" borderId="2"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right" vertical="bottom" textRotation="0" wrapText="tru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4"/>
  </cols>
  <sheetData>
    <row r="1" customFormat="false" ht="17.35"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3" t="s">
        <v>2</v>
      </c>
    </row>
    <row r="5" customFormat="false" ht="15" hidden="false" customHeight="false" outlineLevel="0" collapsed="false">
      <c r="B5" s="4"/>
      <c r="C5" s="4" t="s">
        <v>3</v>
      </c>
    </row>
    <row r="6" customFormat="false" ht="15" hidden="false" customHeight="false" outlineLevel="0" collapsed="false">
      <c r="B6" s="5" t="s">
        <v>4</v>
      </c>
      <c r="C6" s="6" t="n">
        <f aca="false">-(Consolidation!I20+Consolidation!I21)</f>
        <v>22124</v>
      </c>
    </row>
    <row r="7" customFormat="false" ht="15" hidden="false" customHeight="false" outlineLevel="0" collapsed="false">
      <c r="B7" s="5" t="s">
        <v>5</v>
      </c>
      <c r="C7" s="6" t="n">
        <f aca="false">-(Consolidation!I22+Consolidation!I23)</f>
        <v>-13048</v>
      </c>
    </row>
    <row r="8" customFormat="false" ht="15" hidden="false" customHeight="false" outlineLevel="0" collapsed="false">
      <c r="B8" s="7" t="s">
        <v>6</v>
      </c>
      <c r="C8" s="8" t="n">
        <f aca="false">C6+C7</f>
        <v>9076</v>
      </c>
    </row>
    <row r="9" customFormat="false" ht="15" hidden="false" customHeight="false" outlineLevel="0" collapsed="false">
      <c r="B9" s="5" t="s">
        <v>7</v>
      </c>
      <c r="C9" s="6" t="n">
        <f aca="false">-Consolidation!I24</f>
        <v>-4922</v>
      </c>
    </row>
    <row r="10" customFormat="false" ht="15" hidden="false" customHeight="false" outlineLevel="0" collapsed="false">
      <c r="B10" s="7" t="s">
        <v>8</v>
      </c>
      <c r="C10" s="8" t="n">
        <f aca="false">C8+C9</f>
        <v>4154</v>
      </c>
    </row>
    <row r="11" customFormat="false" ht="15" hidden="false" customHeight="false" outlineLevel="0" collapsed="false">
      <c r="B11" s="5" t="s">
        <v>9</v>
      </c>
      <c r="C11" s="6" t="n">
        <f aca="false">-Consolidation!I25</f>
        <v>-372.7</v>
      </c>
    </row>
    <row r="12" customFormat="false" ht="15" hidden="false" customHeight="false" outlineLevel="0" collapsed="false">
      <c r="B12" s="7" t="s">
        <v>10</v>
      </c>
      <c r="C12" s="8" t="n">
        <f aca="false">C10+C11</f>
        <v>3781.3</v>
      </c>
    </row>
    <row r="13" customFormat="false" ht="15" hidden="false" customHeight="false" outlineLevel="0" collapsed="false">
      <c r="B13" s="5" t="s">
        <v>11</v>
      </c>
      <c r="C13" s="6" t="n">
        <f aca="false">-Consolidation!I26</f>
        <v>-852.6</v>
      </c>
    </row>
    <row r="14" customFormat="false" ht="15" hidden="false" customHeight="false" outlineLevel="0" collapsed="false">
      <c r="B14" s="7" t="s">
        <v>12</v>
      </c>
      <c r="C14" s="9" t="n">
        <f aca="false">C12+C13</f>
        <v>2928.7</v>
      </c>
    </row>
    <row r="16" customFormat="false" ht="15" hidden="false" customHeight="false" outlineLevel="0" collapsed="false">
      <c r="B16" s="5" t="s">
        <v>13</v>
      </c>
      <c r="C16" s="6" t="n">
        <f aca="false">C14-C17</f>
        <v>2834.96</v>
      </c>
    </row>
    <row r="17" customFormat="false" ht="15" hidden="false" customHeight="false" outlineLevel="0" collapsed="false">
      <c r="B17" s="5" t="s">
        <v>14</v>
      </c>
      <c r="C17" s="6" t="n">
        <f aca="false">(1-Inputs!$E$7)*-SUM(Translation!I17:I23)+(1-Inputs!$E$8)*-SUM(Translation!L17:L23)</f>
        <v>93.74</v>
      </c>
    </row>
    <row r="19" customFormat="false" ht="15" hidden="false" customHeight="false" outlineLevel="0" collapsed="false">
      <c r="B19" s="3" t="s">
        <v>15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4"/>
    <col collapsed="false" customWidth="true" hidden="false" outlineLevel="0" max="3" min="3" style="0" width="14"/>
  </cols>
  <sheetData>
    <row r="1" customFormat="false" ht="17.35" hidden="false" customHeight="false" outlineLevel="0" collapsed="false">
      <c r="B1" s="1" t="s">
        <v>0</v>
      </c>
    </row>
    <row r="2" customFormat="false" ht="15" hidden="false" customHeight="false" outlineLevel="0" collapsed="false">
      <c r="B2" s="2" t="s">
        <v>16</v>
      </c>
    </row>
    <row r="3" customFormat="false" ht="15" hidden="false" customHeight="false" outlineLevel="0" collapsed="false">
      <c r="B3" s="3" t="s">
        <v>2</v>
      </c>
    </row>
    <row r="5" customFormat="false" ht="15" hidden="false" customHeight="false" outlineLevel="0" collapsed="false">
      <c r="B5" s="4"/>
      <c r="C5" s="4" t="s">
        <v>3</v>
      </c>
    </row>
    <row r="6" customFormat="false" ht="15" hidden="false" customHeight="false" outlineLevel="0" collapsed="false">
      <c r="B6" s="5" t="s">
        <v>17</v>
      </c>
      <c r="C6" s="6" t="n">
        <f aca="false">Consolidation!I12</f>
        <v>500</v>
      </c>
    </row>
    <row r="7" customFormat="false" ht="15" hidden="false" customHeight="false" outlineLevel="0" collapsed="false">
      <c r="B7" s="5" t="s">
        <v>18</v>
      </c>
      <c r="C7" s="6" t="n">
        <f aca="false">Consolidation!I10</f>
        <v>10444</v>
      </c>
    </row>
    <row r="8" customFormat="false" ht="15" hidden="false" customHeight="false" outlineLevel="0" collapsed="false">
      <c r="B8" s="7" t="s">
        <v>19</v>
      </c>
      <c r="C8" s="8" t="n">
        <f aca="false">C6+C7</f>
        <v>10944</v>
      </c>
    </row>
    <row r="9" customFormat="false" ht="15" hidden="false" customHeight="false" outlineLevel="0" collapsed="false">
      <c r="B9" s="5" t="s">
        <v>20</v>
      </c>
      <c r="C9" s="6" t="n">
        <f aca="false">Consolidation!I9</f>
        <v>2690</v>
      </c>
    </row>
    <row r="10" customFormat="false" ht="15" hidden="false" customHeight="false" outlineLevel="0" collapsed="false">
      <c r="B10" s="5" t="s">
        <v>21</v>
      </c>
      <c r="C10" s="6" t="n">
        <f aca="false">Consolidation!I7</f>
        <v>3756</v>
      </c>
    </row>
    <row r="11" customFormat="false" ht="15" hidden="false" customHeight="false" outlineLevel="0" collapsed="false">
      <c r="B11" s="5" t="s">
        <v>22</v>
      </c>
      <c r="C11" s="6" t="n">
        <f aca="false">Consolidation!I8</f>
        <v>0</v>
      </c>
    </row>
    <row r="12" customFormat="false" ht="15" hidden="false" customHeight="false" outlineLevel="0" collapsed="false">
      <c r="B12" s="5" t="s">
        <v>23</v>
      </c>
      <c r="C12" s="6" t="n">
        <f aca="false">Consolidation!I6</f>
        <v>2232</v>
      </c>
    </row>
    <row r="13" customFormat="false" ht="15" hidden="false" customHeight="false" outlineLevel="0" collapsed="false">
      <c r="B13" s="7" t="s">
        <v>24</v>
      </c>
      <c r="C13" s="8" t="n">
        <f aca="false">SUM(C9:C12)</f>
        <v>8678</v>
      </c>
    </row>
    <row r="14" customFormat="false" ht="15" hidden="false" customHeight="false" outlineLevel="0" collapsed="false">
      <c r="B14" s="7" t="s">
        <v>25</v>
      </c>
      <c r="C14" s="9" t="n">
        <f aca="false">C8+C13</f>
        <v>19622</v>
      </c>
    </row>
    <row r="16" customFormat="false" ht="15" hidden="false" customHeight="false" outlineLevel="0" collapsed="false">
      <c r="B16" s="5" t="s">
        <v>26</v>
      </c>
      <c r="C16" s="6" t="n">
        <f aca="false">-Consolidation!I16</f>
        <v>5000</v>
      </c>
    </row>
    <row r="17" customFormat="false" ht="15" hidden="false" customHeight="false" outlineLevel="0" collapsed="false">
      <c r="B17" s="5" t="s">
        <v>27</v>
      </c>
      <c r="C17" s="6" t="n">
        <f aca="false">-Consolidation!I17+'Consolidated IS'!C16</f>
        <v>5762.96</v>
      </c>
    </row>
    <row r="18" customFormat="false" ht="15" hidden="false" customHeight="false" outlineLevel="0" collapsed="false">
      <c r="B18" s="5" t="s">
        <v>28</v>
      </c>
      <c r="C18" s="6" t="n">
        <f aca="false">-Consolidation!I18</f>
        <v>-24.5600000000001</v>
      </c>
    </row>
    <row r="19" customFormat="false" ht="15" hidden="false" customHeight="false" outlineLevel="0" collapsed="false">
      <c r="B19" s="7" t="s">
        <v>29</v>
      </c>
      <c r="C19" s="8" t="n">
        <f aca="false">SUM(C16:C18)</f>
        <v>10738.4</v>
      </c>
    </row>
    <row r="20" customFormat="false" ht="15" hidden="false" customHeight="false" outlineLevel="0" collapsed="false">
      <c r="B20" s="5" t="s">
        <v>30</v>
      </c>
      <c r="C20" s="6" t="n">
        <f aca="false">-Consolidation!I19+'Consolidated IS'!C17</f>
        <v>399.6</v>
      </c>
    </row>
    <row r="21" customFormat="false" ht="15" hidden="false" customHeight="false" outlineLevel="0" collapsed="false">
      <c r="B21" s="7" t="s">
        <v>31</v>
      </c>
      <c r="C21" s="8" t="n">
        <f aca="false">C19+C20</f>
        <v>11138</v>
      </c>
    </row>
    <row r="22" customFormat="false" ht="15" hidden="false" customHeight="false" outlineLevel="0" collapsed="false">
      <c r="B22" s="5" t="s">
        <v>32</v>
      </c>
      <c r="C22" s="6" t="n">
        <f aca="false">-Consolidation!I15</f>
        <v>5648</v>
      </c>
    </row>
    <row r="23" customFormat="false" ht="15" hidden="false" customHeight="false" outlineLevel="0" collapsed="false">
      <c r="B23" s="5" t="s">
        <v>33</v>
      </c>
      <c r="C23" s="6" t="n">
        <f aca="false">-Consolidation!I13</f>
        <v>2836</v>
      </c>
    </row>
    <row r="24" customFormat="false" ht="15" hidden="false" customHeight="false" outlineLevel="0" collapsed="false">
      <c r="B24" s="5" t="s">
        <v>34</v>
      </c>
      <c r="C24" s="6" t="n">
        <f aca="false">-Consolidation!I14</f>
        <v>-0</v>
      </c>
    </row>
    <row r="25" customFormat="false" ht="15" hidden="false" customHeight="false" outlineLevel="0" collapsed="false">
      <c r="B25" s="7" t="s">
        <v>35</v>
      </c>
      <c r="C25" s="8" t="n">
        <f aca="false">SUM(C22:C24)</f>
        <v>8484</v>
      </c>
    </row>
    <row r="26" customFormat="false" ht="15" hidden="false" customHeight="false" outlineLevel="0" collapsed="false">
      <c r="B26" s="7" t="s">
        <v>36</v>
      </c>
      <c r="C26" s="9" t="n">
        <f aca="false">C21+C25</f>
        <v>19622</v>
      </c>
    </row>
    <row r="28" customFormat="false" ht="15" hidden="false" customHeight="false" outlineLevel="0" collapsed="false">
      <c r="B28" s="5" t="s">
        <v>37</v>
      </c>
      <c r="C28" s="6" t="n">
        <f aca="false">ROUND(C14-C26,2)</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30"/>
    <col collapsed="false" customWidth="true" hidden="false" outlineLevel="0" max="9" min="4" style="0" width="13"/>
  </cols>
  <sheetData>
    <row r="1" customFormat="false" ht="17.35" hidden="false" customHeight="false" outlineLevel="0" collapsed="false">
      <c r="B1" s="1" t="s">
        <v>0</v>
      </c>
    </row>
    <row r="2" customFormat="false" ht="15" hidden="false" customHeight="false" outlineLevel="0" collapsed="false">
      <c r="B2" s="2" t="s">
        <v>38</v>
      </c>
    </row>
    <row r="3" customFormat="false" ht="15" hidden="false" customHeight="false" outlineLevel="0" collapsed="false">
      <c r="B3" s="3" t="s">
        <v>2</v>
      </c>
    </row>
    <row r="5" customFormat="false" ht="23.85" hidden="false" customHeight="false" outlineLevel="0" collapsed="false">
      <c r="B5" s="4" t="s">
        <v>39</v>
      </c>
      <c r="C5" s="4" t="s">
        <v>40</v>
      </c>
      <c r="D5" s="10" t="s">
        <v>41</v>
      </c>
      <c r="E5" s="10" t="s">
        <v>42</v>
      </c>
      <c r="F5" s="10" t="s">
        <v>43</v>
      </c>
      <c r="G5" s="10" t="s">
        <v>44</v>
      </c>
      <c r="H5" s="10" t="s">
        <v>45</v>
      </c>
      <c r="I5" s="10" t="s">
        <v>46</v>
      </c>
    </row>
    <row r="6" customFormat="false" ht="15" hidden="false" customHeight="false" outlineLevel="0" collapsed="false">
      <c r="B6" s="5" t="n">
        <v>1000</v>
      </c>
      <c r="C6" s="5" t="s">
        <v>23</v>
      </c>
      <c r="D6" s="11" t="n">
        <f aca="false">Translation!F6</f>
        <v>1200</v>
      </c>
      <c r="E6" s="11" t="n">
        <f aca="false">Translation!I6</f>
        <v>600</v>
      </c>
      <c r="F6" s="11" t="n">
        <f aca="false">Translation!L6</f>
        <v>432</v>
      </c>
      <c r="G6" s="6" t="n">
        <f aca="false">SUM(D6:F6)</f>
        <v>2232</v>
      </c>
      <c r="H6" s="11" t="n">
        <f aca="false">SUMIFS(Eliminations!$F$6:$F$27,Eliminations!$D$6:$D$27,$B6)</f>
        <v>0</v>
      </c>
      <c r="I6" s="12" t="n">
        <f aca="false">G6+H6</f>
        <v>2232</v>
      </c>
    </row>
    <row r="7" customFormat="false" ht="15" hidden="false" customHeight="false" outlineLevel="0" collapsed="false">
      <c r="B7" s="5" t="n">
        <v>1100</v>
      </c>
      <c r="C7" s="5" t="s">
        <v>21</v>
      </c>
      <c r="D7" s="11" t="n">
        <f aca="false">Translation!F7</f>
        <v>2100</v>
      </c>
      <c r="E7" s="11" t="n">
        <f aca="false">Translation!I7</f>
        <v>900</v>
      </c>
      <c r="F7" s="11" t="n">
        <f aca="false">Translation!L7</f>
        <v>756</v>
      </c>
      <c r="G7" s="6" t="n">
        <f aca="false">SUM(D7:F7)</f>
        <v>3756</v>
      </c>
      <c r="H7" s="11" t="n">
        <f aca="false">SUMIFS(Eliminations!$F$6:$F$27,Eliminations!$D$6:$D$27,$B7)</f>
        <v>0</v>
      </c>
      <c r="I7" s="12" t="n">
        <f aca="false">G7+H7</f>
        <v>3756</v>
      </c>
    </row>
    <row r="8" customFormat="false" ht="15" hidden="false" customHeight="false" outlineLevel="0" collapsed="false">
      <c r="B8" s="5" t="n">
        <v>1150</v>
      </c>
      <c r="C8" s="5" t="s">
        <v>47</v>
      </c>
      <c r="D8" s="11" t="n">
        <f aca="false">Translation!F8</f>
        <v>540</v>
      </c>
      <c r="E8" s="11" t="n">
        <f aca="false">Translation!I8</f>
        <v>150</v>
      </c>
      <c r="F8" s="11" t="n">
        <f aca="false">Translation!L8</f>
        <v>0</v>
      </c>
      <c r="G8" s="6" t="n">
        <f aca="false">SUM(D8:F8)</f>
        <v>690</v>
      </c>
      <c r="H8" s="11" t="n">
        <f aca="false">SUMIFS(Eliminations!$F$6:$F$27,Eliminations!$D$6:$D$27,$B8)</f>
        <v>-690</v>
      </c>
      <c r="I8" s="12" t="n">
        <f aca="false">G8+H8</f>
        <v>0</v>
      </c>
    </row>
    <row r="9" customFormat="false" ht="15" hidden="false" customHeight="false" outlineLevel="0" collapsed="false">
      <c r="B9" s="5" t="n">
        <v>1200</v>
      </c>
      <c r="C9" s="5" t="s">
        <v>20</v>
      </c>
      <c r="D9" s="11" t="n">
        <f aca="false">Translation!F9</f>
        <v>1500</v>
      </c>
      <c r="E9" s="11" t="n">
        <f aca="false">Translation!I9</f>
        <v>700</v>
      </c>
      <c r="F9" s="11" t="n">
        <f aca="false">Translation!L9</f>
        <v>540</v>
      </c>
      <c r="G9" s="6" t="n">
        <f aca="false">SUM(D9:F9)</f>
        <v>2740</v>
      </c>
      <c r="H9" s="11" t="n">
        <f aca="false">SUMIFS(Eliminations!$F$6:$F$27,Eliminations!$D$6:$D$27,$B9)</f>
        <v>-50</v>
      </c>
      <c r="I9" s="12" t="n">
        <f aca="false">G9+H9</f>
        <v>2690</v>
      </c>
    </row>
    <row r="10" customFormat="false" ht="15" hidden="false" customHeight="false" outlineLevel="0" collapsed="false">
      <c r="B10" s="5" t="n">
        <v>1500</v>
      </c>
      <c r="C10" s="5" t="s">
        <v>18</v>
      </c>
      <c r="D10" s="11" t="n">
        <f aca="false">Translation!F10</f>
        <v>6000</v>
      </c>
      <c r="E10" s="11" t="n">
        <f aca="false">Translation!I10</f>
        <v>2500</v>
      </c>
      <c r="F10" s="11" t="n">
        <f aca="false">Translation!L10</f>
        <v>1944</v>
      </c>
      <c r="G10" s="6" t="n">
        <f aca="false">SUM(D10:F10)</f>
        <v>10444</v>
      </c>
      <c r="H10" s="11" t="n">
        <f aca="false">SUMIFS(Eliminations!$F$6:$F$27,Eliminations!$D$6:$D$27,$B10)</f>
        <v>0</v>
      </c>
      <c r="I10" s="12" t="n">
        <f aca="false">G10+H10</f>
        <v>10444</v>
      </c>
    </row>
    <row r="11" customFormat="false" ht="15" hidden="false" customHeight="false" outlineLevel="0" collapsed="false">
      <c r="B11" s="5" t="n">
        <v>1600</v>
      </c>
      <c r="C11" s="5" t="s">
        <v>48</v>
      </c>
      <c r="D11" s="11" t="n">
        <f aca="false">Translation!F11</f>
        <v>3580</v>
      </c>
      <c r="E11" s="11" t="n">
        <f aca="false">Translation!I11</f>
        <v>0</v>
      </c>
      <c r="F11" s="11" t="n">
        <f aca="false">Translation!L11</f>
        <v>0</v>
      </c>
      <c r="G11" s="6" t="n">
        <f aca="false">SUM(D11:F11)</f>
        <v>3580</v>
      </c>
      <c r="H11" s="11" t="n">
        <f aca="false">SUMIFS(Eliminations!$F$6:$F$27,Eliminations!$D$6:$D$27,$B11)</f>
        <v>-3580</v>
      </c>
      <c r="I11" s="12" t="n">
        <f aca="false">G11+H11</f>
        <v>0</v>
      </c>
    </row>
    <row r="12" customFormat="false" ht="15" hidden="false" customHeight="false" outlineLevel="0" collapsed="false">
      <c r="B12" s="5" t="n">
        <v>1700</v>
      </c>
      <c r="C12" s="5" t="s">
        <v>17</v>
      </c>
      <c r="D12" s="11" t="n">
        <v>0</v>
      </c>
      <c r="E12" s="11" t="n">
        <v>0</v>
      </c>
      <c r="F12" s="11" t="n">
        <v>0</v>
      </c>
      <c r="G12" s="6" t="n">
        <f aca="false">SUM(D12:F12)</f>
        <v>0</v>
      </c>
      <c r="H12" s="11" t="n">
        <f aca="false">SUMIFS(Eliminations!$F$6:$F$27,Eliminations!$D$6:$D$27,$B12)</f>
        <v>500</v>
      </c>
      <c r="I12" s="12" t="n">
        <f aca="false">G12+H12</f>
        <v>500</v>
      </c>
    </row>
    <row r="13" customFormat="false" ht="15" hidden="false" customHeight="false" outlineLevel="0" collapsed="false">
      <c r="B13" s="5" t="n">
        <v>2000</v>
      </c>
      <c r="C13" s="5" t="s">
        <v>33</v>
      </c>
      <c r="D13" s="11" t="n">
        <f aca="false">Translation!F12</f>
        <v>-1700</v>
      </c>
      <c r="E13" s="11" t="n">
        <f aca="false">Translation!I12</f>
        <v>-650</v>
      </c>
      <c r="F13" s="11" t="n">
        <f aca="false">Translation!L12</f>
        <v>-486</v>
      </c>
      <c r="G13" s="6" t="n">
        <f aca="false">SUM(D13:F13)</f>
        <v>-2836</v>
      </c>
      <c r="H13" s="11" t="n">
        <f aca="false">SUMIFS(Eliminations!$F$6:$F$27,Eliminations!$D$6:$D$27,$B13)</f>
        <v>0</v>
      </c>
      <c r="I13" s="12" t="n">
        <f aca="false">G13+H13</f>
        <v>-2836</v>
      </c>
    </row>
    <row r="14" customFormat="false" ht="15" hidden="false" customHeight="false" outlineLevel="0" collapsed="false">
      <c r="B14" s="5" t="n">
        <v>2150</v>
      </c>
      <c r="C14" s="5" t="s">
        <v>49</v>
      </c>
      <c r="D14" s="11" t="n">
        <f aca="false">Translation!F13</f>
        <v>-150</v>
      </c>
      <c r="E14" s="11" t="n">
        <f aca="false">Translation!I13</f>
        <v>0</v>
      </c>
      <c r="F14" s="11" t="n">
        <f aca="false">Translation!L13</f>
        <v>-540</v>
      </c>
      <c r="G14" s="6" t="n">
        <f aca="false">SUM(D14:F14)</f>
        <v>-690</v>
      </c>
      <c r="H14" s="11" t="n">
        <f aca="false">SUMIFS(Eliminations!$F$6:$F$27,Eliminations!$D$6:$D$27,$B14)</f>
        <v>690</v>
      </c>
      <c r="I14" s="12" t="n">
        <f aca="false">G14+H14</f>
        <v>0</v>
      </c>
    </row>
    <row r="15" customFormat="false" ht="15" hidden="false" customHeight="false" outlineLevel="0" collapsed="false">
      <c r="B15" s="5" t="n">
        <v>2500</v>
      </c>
      <c r="C15" s="5" t="s">
        <v>32</v>
      </c>
      <c r="D15" s="11" t="n">
        <f aca="false">Translation!F14</f>
        <v>-4000</v>
      </c>
      <c r="E15" s="11" t="n">
        <f aca="false">Translation!I14</f>
        <v>-1000</v>
      </c>
      <c r="F15" s="11" t="n">
        <f aca="false">Translation!L14</f>
        <v>-648</v>
      </c>
      <c r="G15" s="6" t="n">
        <f aca="false">SUM(D15:F15)</f>
        <v>-5648</v>
      </c>
      <c r="H15" s="11" t="n">
        <f aca="false">SUMIFS(Eliminations!$F$6:$F$27,Eliminations!$D$6:$D$27,$B15)</f>
        <v>0</v>
      </c>
      <c r="I15" s="12" t="n">
        <f aca="false">G15+H15</f>
        <v>-5648</v>
      </c>
    </row>
    <row r="16" customFormat="false" ht="15" hidden="false" customHeight="false" outlineLevel="0" collapsed="false">
      <c r="B16" s="5" t="n">
        <v>3000</v>
      </c>
      <c r="C16" s="5" t="s">
        <v>26</v>
      </c>
      <c r="D16" s="11" t="n">
        <f aca="false">Translation!F15</f>
        <v>-5000</v>
      </c>
      <c r="E16" s="11" t="n">
        <f aca="false">Translation!I15</f>
        <v>-1000</v>
      </c>
      <c r="F16" s="11" t="n">
        <f aca="false">Translation!L15</f>
        <v>-1100</v>
      </c>
      <c r="G16" s="6" t="n">
        <f aca="false">SUM(D16:F16)</f>
        <v>-7100</v>
      </c>
      <c r="H16" s="11" t="n">
        <f aca="false">SUMIFS(Eliminations!$F$6:$F$27,Eliminations!$D$6:$D$27,$B16)</f>
        <v>2100</v>
      </c>
      <c r="I16" s="12" t="n">
        <f aca="false">G16+H16</f>
        <v>-5000</v>
      </c>
    </row>
    <row r="17" customFormat="false" ht="15" hidden="false" customHeight="false" outlineLevel="0" collapsed="false">
      <c r="B17" s="5" t="n">
        <v>3100</v>
      </c>
      <c r="C17" s="5" t="s">
        <v>50</v>
      </c>
      <c r="D17" s="11" t="n">
        <f aca="false">Translation!F16</f>
        <v>-2300</v>
      </c>
      <c r="E17" s="11" t="n">
        <f aca="false">Translation!I16</f>
        <v>-1460</v>
      </c>
      <c r="F17" s="11" t="n">
        <f aca="false">Translation!L16</f>
        <v>-460</v>
      </c>
      <c r="G17" s="6" t="n">
        <f aca="false">SUM(D17:F17)</f>
        <v>-4220</v>
      </c>
      <c r="H17" s="11" t="n">
        <f aca="false">SUMIFS(Eliminations!$F$6:$F$27,Eliminations!$D$6:$D$27,$B17)</f>
        <v>1292</v>
      </c>
      <c r="I17" s="12" t="n">
        <f aca="false">G17+H17</f>
        <v>-2928</v>
      </c>
    </row>
    <row r="18" customFormat="false" ht="15" hidden="false" customHeight="false" outlineLevel="0" collapsed="false">
      <c r="B18" s="5" t="n">
        <v>3200</v>
      </c>
      <c r="C18" s="5" t="s">
        <v>28</v>
      </c>
      <c r="D18" s="11" t="n">
        <f aca="false">Translation!F24</f>
        <v>-0</v>
      </c>
      <c r="E18" s="11" t="n">
        <f aca="false">Translation!I24</f>
        <v>-0</v>
      </c>
      <c r="F18" s="11" t="n">
        <f aca="false">Translation!L24</f>
        <v>30.7000000000002</v>
      </c>
      <c r="G18" s="6" t="n">
        <f aca="false">SUM(D18:F18)</f>
        <v>30.7000000000002</v>
      </c>
      <c r="H18" s="11" t="n">
        <f aca="false">SUMIFS(Eliminations!$F$6:$F$27,Eliminations!$D$6:$D$27,$B18)</f>
        <v>-6.14000000000003</v>
      </c>
      <c r="I18" s="12" t="n">
        <f aca="false">G18+H18</f>
        <v>24.5600000000001</v>
      </c>
    </row>
    <row r="19" customFormat="false" ht="15" hidden="false" customHeight="false" outlineLevel="0" collapsed="false">
      <c r="B19" s="5" t="n">
        <v>3300</v>
      </c>
      <c r="C19" s="5" t="s">
        <v>30</v>
      </c>
      <c r="D19" s="11" t="n">
        <v>0</v>
      </c>
      <c r="E19" s="11" t="n">
        <v>0</v>
      </c>
      <c r="F19" s="11" t="n">
        <v>0</v>
      </c>
      <c r="G19" s="6" t="n">
        <f aca="false">SUM(D19:F19)</f>
        <v>0</v>
      </c>
      <c r="H19" s="11" t="n">
        <f aca="false">SUMIFS(Eliminations!$F$6:$F$27,Eliminations!$D$6:$D$27,$B19)</f>
        <v>-305.86</v>
      </c>
      <c r="I19" s="12" t="n">
        <f aca="false">G19+H19</f>
        <v>-305.86</v>
      </c>
    </row>
    <row r="20" customFormat="false" ht="15" hidden="false" customHeight="false" outlineLevel="0" collapsed="false">
      <c r="B20" s="5" t="n">
        <v>4000</v>
      </c>
      <c r="C20" s="5" t="s">
        <v>4</v>
      </c>
      <c r="D20" s="11" t="n">
        <f aca="false">Translation!F17</f>
        <v>-14000</v>
      </c>
      <c r="E20" s="11" t="n">
        <f aca="false">Translation!I17</f>
        <v>-4200</v>
      </c>
      <c r="F20" s="11" t="n">
        <f aca="false">Translation!L17</f>
        <v>-3924</v>
      </c>
      <c r="G20" s="6" t="n">
        <f aca="false">SUM(D20:F20)</f>
        <v>-22124</v>
      </c>
      <c r="H20" s="11" t="n">
        <f aca="false">SUMIFS(Eliminations!$F$6:$F$27,Eliminations!$D$6:$D$27,$B20)</f>
        <v>0</v>
      </c>
      <c r="I20" s="12" t="n">
        <f aca="false">G20+H20</f>
        <v>-22124</v>
      </c>
    </row>
    <row r="21" customFormat="false" ht="15" hidden="false" customHeight="false" outlineLevel="0" collapsed="false">
      <c r="B21" s="5" t="n">
        <v>4050</v>
      </c>
      <c r="C21" s="5" t="s">
        <v>51</v>
      </c>
      <c r="D21" s="11" t="n">
        <f aca="false">Translation!F18</f>
        <v>0</v>
      </c>
      <c r="E21" s="11" t="n">
        <f aca="false">Translation!I18</f>
        <v>-800</v>
      </c>
      <c r="F21" s="11" t="n">
        <f aca="false">Translation!L18</f>
        <v>0</v>
      </c>
      <c r="G21" s="6" t="n">
        <f aca="false">SUM(D21:F21)</f>
        <v>-800</v>
      </c>
      <c r="H21" s="11" t="n">
        <f aca="false">SUMIFS(Eliminations!$F$6:$F$27,Eliminations!$D$6:$D$27,$B21)</f>
        <v>800</v>
      </c>
      <c r="I21" s="12" t="n">
        <f aca="false">G21+H21</f>
        <v>0</v>
      </c>
    </row>
    <row r="22" customFormat="false" ht="15" hidden="false" customHeight="false" outlineLevel="0" collapsed="false">
      <c r="B22" s="5" t="n">
        <v>5000</v>
      </c>
      <c r="C22" s="5" t="s">
        <v>5</v>
      </c>
      <c r="D22" s="11" t="n">
        <f aca="false">Translation!F19</f>
        <v>7600</v>
      </c>
      <c r="E22" s="11" t="n">
        <f aca="false">Translation!I19</f>
        <v>3000</v>
      </c>
      <c r="F22" s="11" t="n">
        <f aca="false">Translation!L19</f>
        <v>2398</v>
      </c>
      <c r="G22" s="6" t="n">
        <f aca="false">SUM(D22:F22)</f>
        <v>12998</v>
      </c>
      <c r="H22" s="11" t="n">
        <f aca="false">SUMIFS(Eliminations!$F$6:$F$27,Eliminations!$D$6:$D$27,$B22)</f>
        <v>50</v>
      </c>
      <c r="I22" s="12" t="n">
        <f aca="false">G22+H22</f>
        <v>13048</v>
      </c>
    </row>
    <row r="23" customFormat="false" ht="15" hidden="false" customHeight="false" outlineLevel="0" collapsed="false">
      <c r="B23" s="5" t="n">
        <v>5050</v>
      </c>
      <c r="C23" s="5" t="s">
        <v>52</v>
      </c>
      <c r="D23" s="11" t="n">
        <f aca="false">Translation!F20</f>
        <v>800</v>
      </c>
      <c r="E23" s="11" t="n">
        <f aca="false">Translation!I20</f>
        <v>0</v>
      </c>
      <c r="F23" s="11" t="n">
        <f aca="false">Translation!L20</f>
        <v>0</v>
      </c>
      <c r="G23" s="6" t="n">
        <f aca="false">SUM(D23:F23)</f>
        <v>800</v>
      </c>
      <c r="H23" s="11" t="n">
        <f aca="false">SUMIFS(Eliminations!$F$6:$F$27,Eliminations!$D$6:$D$27,$B23)</f>
        <v>-800</v>
      </c>
      <c r="I23" s="12" t="n">
        <f aca="false">G23+H23</f>
        <v>0</v>
      </c>
    </row>
    <row r="24" customFormat="false" ht="15" hidden="false" customHeight="false" outlineLevel="0" collapsed="false">
      <c r="B24" s="5" t="n">
        <v>6000</v>
      </c>
      <c r="C24" s="5" t="s">
        <v>7</v>
      </c>
      <c r="D24" s="11" t="n">
        <f aca="false">Translation!F21</f>
        <v>3100</v>
      </c>
      <c r="E24" s="11" t="n">
        <f aca="false">Translation!I21</f>
        <v>950</v>
      </c>
      <c r="F24" s="11" t="n">
        <f aca="false">Translation!L21</f>
        <v>872</v>
      </c>
      <c r="G24" s="6" t="n">
        <f aca="false">SUM(D24:F24)</f>
        <v>4922</v>
      </c>
      <c r="H24" s="11" t="n">
        <f aca="false">SUMIFS(Eliminations!$F$6:$F$27,Eliminations!$D$6:$D$27,$B24)</f>
        <v>0</v>
      </c>
      <c r="I24" s="12" t="n">
        <f aca="false">G24+H24</f>
        <v>4922</v>
      </c>
    </row>
    <row r="25" customFormat="false" ht="15" hidden="false" customHeight="false" outlineLevel="0" collapsed="false">
      <c r="B25" s="5" t="n">
        <v>7000</v>
      </c>
      <c r="C25" s="5" t="s">
        <v>9</v>
      </c>
      <c r="D25" s="11" t="n">
        <f aca="false">Translation!F22</f>
        <v>280</v>
      </c>
      <c r="E25" s="11" t="n">
        <f aca="false">Translation!I22</f>
        <v>60</v>
      </c>
      <c r="F25" s="11" t="n">
        <f aca="false">Translation!L22</f>
        <v>32.7</v>
      </c>
      <c r="G25" s="6" t="n">
        <f aca="false">SUM(D25:F25)</f>
        <v>372.7</v>
      </c>
      <c r="H25" s="11" t="n">
        <f aca="false">SUMIFS(Eliminations!$F$6:$F$27,Eliminations!$D$6:$D$27,$B25)</f>
        <v>0</v>
      </c>
      <c r="I25" s="12" t="n">
        <f aca="false">G25+H25</f>
        <v>372.7</v>
      </c>
    </row>
    <row r="26" customFormat="false" ht="15" hidden="false" customHeight="false" outlineLevel="0" collapsed="false">
      <c r="B26" s="5" t="n">
        <v>8000</v>
      </c>
      <c r="C26" s="5" t="s">
        <v>11</v>
      </c>
      <c r="D26" s="11" t="n">
        <f aca="false">Translation!F23</f>
        <v>450</v>
      </c>
      <c r="E26" s="11" t="n">
        <f aca="false">Translation!I23</f>
        <v>250</v>
      </c>
      <c r="F26" s="11" t="n">
        <f aca="false">Translation!L23</f>
        <v>152.6</v>
      </c>
      <c r="G26" s="6" t="n">
        <f aca="false">SUM(D26:F26)</f>
        <v>852.6</v>
      </c>
      <c r="H26" s="11" t="n">
        <f aca="false">SUMIFS(Eliminations!$F$6:$F$27,Eliminations!$D$6:$D$27,$B26)</f>
        <v>0</v>
      </c>
      <c r="I26" s="12" t="n">
        <f aca="false">G26+H26</f>
        <v>852.6</v>
      </c>
    </row>
    <row r="27" customFormat="false" ht="15" hidden="false" customHeight="false" outlineLevel="0" collapsed="false">
      <c r="C27" s="7" t="s">
        <v>53</v>
      </c>
      <c r="D27" s="8" t="n">
        <f aca="false">ROUND(SUM(D6:D26),2)</f>
        <v>0</v>
      </c>
      <c r="E27" s="8" t="n">
        <f aca="false">ROUND(SUM(E6:E26),2)</f>
        <v>0</v>
      </c>
      <c r="F27" s="8" t="n">
        <f aca="false">ROUND(SUM(F6:F26),2)</f>
        <v>0</v>
      </c>
      <c r="G27" s="8" t="n">
        <f aca="false">ROUND(SUM(G6:G26),2)</f>
        <v>0</v>
      </c>
      <c r="H27" s="8" t="n">
        <f aca="false">ROUND(SUM(H6:H26),2)</f>
        <v>0</v>
      </c>
      <c r="I27" s="8" t="n">
        <f aca="false">ROUND(SUM(I6:I26),2)</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62"/>
    <col collapsed="false" customWidth="true" hidden="false" outlineLevel="0" max="4" min="4" style="0" width="8"/>
    <col collapsed="false" customWidth="true" hidden="false" outlineLevel="0" max="5" min="5" style="0" width="28"/>
    <col collapsed="false" customWidth="true" hidden="false" outlineLevel="0" max="6" min="6" style="0" width="12"/>
  </cols>
  <sheetData>
    <row r="1" customFormat="false" ht="17.35" hidden="false" customHeight="false" outlineLevel="0" collapsed="false">
      <c r="B1" s="1" t="s">
        <v>0</v>
      </c>
    </row>
    <row r="2" customFormat="false" ht="15" hidden="false" customHeight="false" outlineLevel="0" collapsed="false">
      <c r="B2" s="2" t="s">
        <v>54</v>
      </c>
    </row>
    <row r="3" customFormat="false" ht="15" hidden="false" customHeight="false" outlineLevel="0" collapsed="false">
      <c r="B3" s="3" t="s">
        <v>2</v>
      </c>
    </row>
    <row r="5" customFormat="false" ht="15" hidden="false" customHeight="false" outlineLevel="0" collapsed="false">
      <c r="B5" s="4" t="s">
        <v>55</v>
      </c>
      <c r="C5" s="4" t="s">
        <v>56</v>
      </c>
      <c r="D5" s="10" t="s">
        <v>39</v>
      </c>
      <c r="E5" s="10" t="s">
        <v>40</v>
      </c>
      <c r="F5" s="10" t="s">
        <v>57</v>
      </c>
    </row>
    <row r="6" customFormat="false" ht="15" hidden="false" customHeight="false" outlineLevel="0" collapsed="false">
      <c r="B6" s="5" t="n">
        <v>1</v>
      </c>
      <c r="C6" s="5" t="s">
        <v>58</v>
      </c>
      <c r="D6" s="5" t="n">
        <v>3000</v>
      </c>
      <c r="E6" s="5" t="s">
        <v>26</v>
      </c>
      <c r="F6" s="11" t="n">
        <f aca="false">(-Translation!I15)</f>
        <v>1000</v>
      </c>
    </row>
    <row r="7" customFormat="false" ht="15" hidden="false" customHeight="false" outlineLevel="0" collapsed="false">
      <c r="B7" s="5" t="n">
        <v>1</v>
      </c>
      <c r="C7" s="5" t="s">
        <v>58</v>
      </c>
      <c r="D7" s="5" t="n">
        <v>3100</v>
      </c>
      <c r="E7" s="5" t="s">
        <v>50</v>
      </c>
      <c r="F7" s="11" t="n">
        <f aca="false">Inputs!$G$7</f>
        <v>1200</v>
      </c>
    </row>
    <row r="8" customFormat="false" ht="15" hidden="false" customHeight="false" outlineLevel="0" collapsed="false">
      <c r="B8" s="5" t="n">
        <v>1</v>
      </c>
      <c r="C8" s="5" t="s">
        <v>58</v>
      </c>
      <c r="D8" s="5" t="n">
        <v>1700</v>
      </c>
      <c r="E8" s="5" t="s">
        <v>17</v>
      </c>
      <c r="F8" s="11" t="n">
        <f aca="false">Inputs!$F$7-Inputs!$E$7*((-Translation!I15)+Inputs!$G$7)</f>
        <v>500</v>
      </c>
    </row>
    <row r="9" customFormat="false" ht="15" hidden="false" customHeight="false" outlineLevel="0" collapsed="false">
      <c r="B9" s="5" t="n">
        <v>1</v>
      </c>
      <c r="C9" s="5" t="s">
        <v>58</v>
      </c>
      <c r="D9" s="5" t="n">
        <v>1600</v>
      </c>
      <c r="E9" s="5" t="s">
        <v>48</v>
      </c>
      <c r="F9" s="11" t="n">
        <f aca="false">-Inputs!$F$7</f>
        <v>-2700</v>
      </c>
    </row>
    <row r="10" customFormat="false" ht="15" hidden="false" customHeight="false" outlineLevel="0" collapsed="false">
      <c r="B10" s="5" t="n">
        <v>1</v>
      </c>
      <c r="C10" s="5" t="s">
        <v>58</v>
      </c>
      <c r="D10" s="5" t="n">
        <v>3300</v>
      </c>
      <c r="E10" s="5" t="s">
        <v>30</v>
      </c>
      <c r="F10" s="11" t="n">
        <f aca="false">-(1-Inputs!$E$7)*((-Translation!I15)+Inputs!$G$7)</f>
        <v>-0</v>
      </c>
    </row>
    <row r="11" customFormat="false" ht="15" hidden="false" customHeight="false" outlineLevel="0" collapsed="false">
      <c r="B11" s="5" t="n">
        <v>2</v>
      </c>
      <c r="C11" s="5" t="s">
        <v>59</v>
      </c>
      <c r="D11" s="5" t="n">
        <v>3000</v>
      </c>
      <c r="E11" s="5" t="s">
        <v>26</v>
      </c>
      <c r="F11" s="11" t="n">
        <f aca="false">(-Translation!L15)</f>
        <v>1100</v>
      </c>
    </row>
    <row r="12" customFormat="false" ht="15" hidden="false" customHeight="false" outlineLevel="0" collapsed="false">
      <c r="B12" s="5" t="n">
        <v>2</v>
      </c>
      <c r="C12" s="5" t="s">
        <v>59</v>
      </c>
      <c r="D12" s="5" t="n">
        <v>3100</v>
      </c>
      <c r="E12" s="5" t="s">
        <v>50</v>
      </c>
      <c r="F12" s="11" t="n">
        <f aca="false">Inputs!$G$8</f>
        <v>0</v>
      </c>
    </row>
    <row r="13" customFormat="false" ht="15" hidden="false" customHeight="false" outlineLevel="0" collapsed="false">
      <c r="B13" s="5" t="n">
        <v>2</v>
      </c>
      <c r="C13" s="5" t="s">
        <v>59</v>
      </c>
      <c r="D13" s="5" t="n">
        <v>1700</v>
      </c>
      <c r="E13" s="5" t="s">
        <v>17</v>
      </c>
      <c r="F13" s="11" t="n">
        <f aca="false">Inputs!$F$8-Inputs!$E$8*((-Translation!L15)+Inputs!$G$8)</f>
        <v>0</v>
      </c>
    </row>
    <row r="14" customFormat="false" ht="15" hidden="false" customHeight="false" outlineLevel="0" collapsed="false">
      <c r="B14" s="5" t="n">
        <v>2</v>
      </c>
      <c r="C14" s="5" t="s">
        <v>59</v>
      </c>
      <c r="D14" s="5" t="n">
        <v>1600</v>
      </c>
      <c r="E14" s="5" t="s">
        <v>48</v>
      </c>
      <c r="F14" s="11" t="n">
        <f aca="false">-Inputs!$F$8</f>
        <v>-880</v>
      </c>
    </row>
    <row r="15" customFormat="false" ht="15" hidden="false" customHeight="false" outlineLevel="0" collapsed="false">
      <c r="B15" s="5" t="n">
        <v>2</v>
      </c>
      <c r="C15" s="5" t="s">
        <v>59</v>
      </c>
      <c r="D15" s="5" t="n">
        <v>3300</v>
      </c>
      <c r="E15" s="5" t="s">
        <v>30</v>
      </c>
      <c r="F15" s="11" t="n">
        <f aca="false">-(1-Inputs!$E$8)*((-Translation!L15)+Inputs!$G$8)</f>
        <v>-220</v>
      </c>
    </row>
    <row r="16" customFormat="false" ht="15" hidden="false" customHeight="false" outlineLevel="0" collapsed="false">
      <c r="B16" s="5" t="n">
        <v>3</v>
      </c>
      <c r="C16" s="5" t="s">
        <v>60</v>
      </c>
      <c r="D16" s="5" t="n">
        <v>3100</v>
      </c>
      <c r="E16" s="5" t="s">
        <v>50</v>
      </c>
      <c r="F16" s="11" t="n">
        <f aca="false">(1-Inputs!$E$8)*(-Translation!L16-Inputs!$G$8)</f>
        <v>92</v>
      </c>
    </row>
    <row r="17" customFormat="false" ht="15" hidden="false" customHeight="false" outlineLevel="0" collapsed="false">
      <c r="B17" s="5" t="n">
        <v>3</v>
      </c>
      <c r="C17" s="5" t="s">
        <v>60</v>
      </c>
      <c r="D17" s="5" t="n">
        <v>3300</v>
      </c>
      <c r="E17" s="5" t="s">
        <v>30</v>
      </c>
      <c r="F17" s="11" t="n">
        <f aca="false">-(1-Inputs!$E$8)*(-Translation!L16-Inputs!$G$8)</f>
        <v>-92</v>
      </c>
    </row>
    <row r="18" customFormat="false" ht="15" hidden="false" customHeight="false" outlineLevel="0" collapsed="false">
      <c r="B18" s="5" t="n">
        <v>3</v>
      </c>
      <c r="C18" s="5" t="s">
        <v>60</v>
      </c>
      <c r="D18" s="5" t="n">
        <v>3200</v>
      </c>
      <c r="E18" s="5" t="s">
        <v>28</v>
      </c>
      <c r="F18" s="11" t="n">
        <f aca="false">-(1-Inputs!$E$8)*Translation!L24</f>
        <v>-6.14000000000003</v>
      </c>
    </row>
    <row r="19" customFormat="false" ht="15" hidden="false" customHeight="false" outlineLevel="0" collapsed="false">
      <c r="B19" s="5" t="n">
        <v>3</v>
      </c>
      <c r="C19" s="5" t="s">
        <v>60</v>
      </c>
      <c r="D19" s="5" t="n">
        <v>3300</v>
      </c>
      <c r="E19" s="5" t="s">
        <v>30</v>
      </c>
      <c r="F19" s="11" t="n">
        <f aca="false">(1-Inputs!$E$8)*Translation!L24</f>
        <v>6.14000000000003</v>
      </c>
    </row>
    <row r="20" customFormat="false" ht="15" hidden="false" customHeight="false" outlineLevel="0" collapsed="false">
      <c r="B20" s="5" t="n">
        <v>4</v>
      </c>
      <c r="C20" s="5" t="s">
        <v>61</v>
      </c>
      <c r="D20" s="5" t="n">
        <v>2150</v>
      </c>
      <c r="E20" s="5" t="s">
        <v>49</v>
      </c>
      <c r="F20" s="11" t="n">
        <f aca="false">Inputs!$F$17</f>
        <v>150</v>
      </c>
    </row>
    <row r="21" customFormat="false" ht="15" hidden="false" customHeight="false" outlineLevel="0" collapsed="false">
      <c r="B21" s="5" t="n">
        <v>4</v>
      </c>
      <c r="C21" s="5" t="s">
        <v>61</v>
      </c>
      <c r="D21" s="5" t="n">
        <v>1150</v>
      </c>
      <c r="E21" s="5" t="s">
        <v>47</v>
      </c>
      <c r="F21" s="11" t="n">
        <f aca="false">-Inputs!$F$17</f>
        <v>-150</v>
      </c>
    </row>
    <row r="22" customFormat="false" ht="15" hidden="false" customHeight="false" outlineLevel="0" collapsed="false">
      <c r="B22" s="5" t="n">
        <v>5</v>
      </c>
      <c r="C22" s="5" t="s">
        <v>62</v>
      </c>
      <c r="D22" s="5" t="n">
        <v>2150</v>
      </c>
      <c r="E22" s="5" t="s">
        <v>49</v>
      </c>
      <c r="F22" s="11" t="n">
        <f aca="false">Inputs!$F$18</f>
        <v>540</v>
      </c>
    </row>
    <row r="23" customFormat="false" ht="15" hidden="false" customHeight="false" outlineLevel="0" collapsed="false">
      <c r="B23" s="5" t="n">
        <v>5</v>
      </c>
      <c r="C23" s="5" t="s">
        <v>62</v>
      </c>
      <c r="D23" s="5" t="n">
        <v>1150</v>
      </c>
      <c r="E23" s="5" t="s">
        <v>47</v>
      </c>
      <c r="F23" s="11" t="n">
        <f aca="false">-Inputs!$F$18</f>
        <v>-540</v>
      </c>
    </row>
    <row r="24" customFormat="false" ht="15" hidden="false" customHeight="false" outlineLevel="0" collapsed="false">
      <c r="B24" s="5" t="n">
        <v>6</v>
      </c>
      <c r="C24" s="5" t="s">
        <v>63</v>
      </c>
      <c r="D24" s="5" t="n">
        <v>4050</v>
      </c>
      <c r="E24" s="5" t="s">
        <v>51</v>
      </c>
      <c r="F24" s="11" t="n">
        <f aca="false">Inputs!$F$19</f>
        <v>800</v>
      </c>
    </row>
    <row r="25" customFormat="false" ht="15" hidden="false" customHeight="false" outlineLevel="0" collapsed="false">
      <c r="B25" s="5" t="n">
        <v>6</v>
      </c>
      <c r="C25" s="5" t="s">
        <v>63</v>
      </c>
      <c r="D25" s="5" t="n">
        <v>5050</v>
      </c>
      <c r="E25" s="5" t="s">
        <v>52</v>
      </c>
      <c r="F25" s="11" t="n">
        <f aca="false">-Inputs!$F$19</f>
        <v>-800</v>
      </c>
    </row>
    <row r="26" customFormat="false" ht="15" hidden="false" customHeight="false" outlineLevel="0" collapsed="false">
      <c r="B26" s="5" t="n">
        <v>7</v>
      </c>
      <c r="C26" s="5" t="s">
        <v>64</v>
      </c>
      <c r="D26" s="5" t="n">
        <v>5000</v>
      </c>
      <c r="E26" s="5" t="s">
        <v>5</v>
      </c>
      <c r="F26" s="11" t="n">
        <f aca="false">Inputs!$F$20</f>
        <v>50</v>
      </c>
    </row>
    <row r="27" customFormat="false" ht="15" hidden="false" customHeight="false" outlineLevel="0" collapsed="false">
      <c r="B27" s="5" t="n">
        <v>7</v>
      </c>
      <c r="C27" s="5" t="s">
        <v>64</v>
      </c>
      <c r="D27" s="5" t="n">
        <v>1200</v>
      </c>
      <c r="E27" s="5" t="s">
        <v>20</v>
      </c>
      <c r="F27" s="11" t="n">
        <f aca="false">-Inputs!$F$20</f>
        <v>-50</v>
      </c>
    </row>
    <row r="28" customFormat="false" ht="15" hidden="false" customHeight="false" outlineLevel="0" collapsed="false">
      <c r="E28" s="7" t="s">
        <v>65</v>
      </c>
      <c r="F28" s="8" t="n">
        <f aca="false">ROUND(SUM(F6:F27),2)</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30"/>
    <col collapsed="false" customWidth="true" hidden="false" outlineLevel="0" max="4" min="4" style="0" width="11"/>
    <col collapsed="false" customWidth="true" hidden="false" outlineLevel="0" max="5" min="5" style="0" width="9"/>
    <col collapsed="false" customWidth="true" hidden="false" outlineLevel="0" max="7" min="6" style="0" width="11"/>
    <col collapsed="false" customWidth="true" hidden="false" outlineLevel="0" max="8" min="8" style="0" width="9"/>
    <col collapsed="false" customWidth="true" hidden="false" outlineLevel="0" max="10" min="9" style="0" width="11"/>
    <col collapsed="false" customWidth="true" hidden="false" outlineLevel="0" max="11" min="11" style="0" width="9"/>
    <col collapsed="false" customWidth="true" hidden="false" outlineLevel="0" max="12" min="12" style="0" width="11"/>
  </cols>
  <sheetData>
    <row r="1" customFormat="false" ht="17.35" hidden="false" customHeight="false" outlineLevel="0" collapsed="false">
      <c r="B1" s="1" t="s">
        <v>0</v>
      </c>
    </row>
    <row r="2" customFormat="false" ht="15" hidden="false" customHeight="false" outlineLevel="0" collapsed="false">
      <c r="B2" s="2" t="s">
        <v>66</v>
      </c>
    </row>
    <row r="3" customFormat="false" ht="15" hidden="false" customHeight="false" outlineLevel="0" collapsed="false">
      <c r="B3" s="3" t="s">
        <v>2</v>
      </c>
    </row>
    <row r="5" customFormat="false" ht="23.85" hidden="false" customHeight="false" outlineLevel="0" collapsed="false">
      <c r="B5" s="4" t="s">
        <v>39</v>
      </c>
      <c r="C5" s="4" t="s">
        <v>40</v>
      </c>
      <c r="D5" s="10" t="s">
        <v>67</v>
      </c>
      <c r="E5" s="10" t="s">
        <v>68</v>
      </c>
      <c r="F5" s="10" t="s">
        <v>69</v>
      </c>
      <c r="G5" s="10" t="s">
        <v>70</v>
      </c>
      <c r="H5" s="10" t="s">
        <v>71</v>
      </c>
      <c r="I5" s="10" t="s">
        <v>72</v>
      </c>
      <c r="J5" s="10" t="s">
        <v>73</v>
      </c>
      <c r="K5" s="10" t="s">
        <v>74</v>
      </c>
      <c r="L5" s="10" t="s">
        <v>75</v>
      </c>
    </row>
    <row r="6" customFormat="false" ht="15" hidden="false" customHeight="false" outlineLevel="0" collapsed="false">
      <c r="B6" s="5" t="n">
        <v>1000</v>
      </c>
      <c r="C6" s="5" t="s">
        <v>23</v>
      </c>
      <c r="D6" s="11" t="n">
        <f aca="false">'Trial Balances'!E6</f>
        <v>1200</v>
      </c>
      <c r="E6" s="13" t="n">
        <f aca="false">Inputs!$D$12</f>
        <v>1</v>
      </c>
      <c r="F6" s="6" t="n">
        <f aca="false">D6*E6</f>
        <v>1200</v>
      </c>
      <c r="G6" s="11" t="n">
        <f aca="false">'Trial Balances'!F6</f>
        <v>600</v>
      </c>
      <c r="H6" s="13" t="n">
        <f aca="false">Inputs!$D$12</f>
        <v>1</v>
      </c>
      <c r="I6" s="6" t="n">
        <f aca="false">G6*H6</f>
        <v>600</v>
      </c>
      <c r="J6" s="11" t="n">
        <f aca="false">'Trial Balances'!G6</f>
        <v>400</v>
      </c>
      <c r="K6" s="13" t="n">
        <f aca="false">Inputs!$D$13</f>
        <v>1.08</v>
      </c>
      <c r="L6" s="6" t="n">
        <f aca="false">J6*K6</f>
        <v>432</v>
      </c>
    </row>
    <row r="7" customFormat="false" ht="15" hidden="false" customHeight="false" outlineLevel="0" collapsed="false">
      <c r="B7" s="5" t="n">
        <v>1100</v>
      </c>
      <c r="C7" s="5" t="s">
        <v>21</v>
      </c>
      <c r="D7" s="11" t="n">
        <f aca="false">'Trial Balances'!E7</f>
        <v>2100</v>
      </c>
      <c r="E7" s="13" t="n">
        <f aca="false">Inputs!$D$12</f>
        <v>1</v>
      </c>
      <c r="F7" s="6" t="n">
        <f aca="false">D7*E7</f>
        <v>2100</v>
      </c>
      <c r="G7" s="11" t="n">
        <f aca="false">'Trial Balances'!F7</f>
        <v>900</v>
      </c>
      <c r="H7" s="13" t="n">
        <f aca="false">Inputs!$D$12</f>
        <v>1</v>
      </c>
      <c r="I7" s="6" t="n">
        <f aca="false">G7*H7</f>
        <v>900</v>
      </c>
      <c r="J7" s="11" t="n">
        <f aca="false">'Trial Balances'!G7</f>
        <v>700</v>
      </c>
      <c r="K7" s="13" t="n">
        <f aca="false">Inputs!$D$13</f>
        <v>1.08</v>
      </c>
      <c r="L7" s="6" t="n">
        <f aca="false">J7*K7</f>
        <v>756</v>
      </c>
    </row>
    <row r="8" customFormat="false" ht="15" hidden="false" customHeight="false" outlineLevel="0" collapsed="false">
      <c r="B8" s="5" t="n">
        <v>1150</v>
      </c>
      <c r="C8" s="5" t="s">
        <v>47</v>
      </c>
      <c r="D8" s="11" t="n">
        <f aca="false">'Trial Balances'!E8</f>
        <v>540</v>
      </c>
      <c r="E8" s="13" t="n">
        <f aca="false">Inputs!$D$12</f>
        <v>1</v>
      </c>
      <c r="F8" s="6" t="n">
        <f aca="false">D8*E8</f>
        <v>540</v>
      </c>
      <c r="G8" s="11" t="n">
        <f aca="false">'Trial Balances'!F8</f>
        <v>150</v>
      </c>
      <c r="H8" s="13" t="n">
        <f aca="false">Inputs!$D$12</f>
        <v>1</v>
      </c>
      <c r="I8" s="6" t="n">
        <f aca="false">G8*H8</f>
        <v>150</v>
      </c>
      <c r="J8" s="11" t="n">
        <f aca="false">'Trial Balances'!G8</f>
        <v>0</v>
      </c>
      <c r="K8" s="13" t="n">
        <f aca="false">Inputs!$D$13</f>
        <v>1.08</v>
      </c>
      <c r="L8" s="6" t="n">
        <f aca="false">J8*K8</f>
        <v>0</v>
      </c>
    </row>
    <row r="9" customFormat="false" ht="15" hidden="false" customHeight="false" outlineLevel="0" collapsed="false">
      <c r="B9" s="5" t="n">
        <v>1200</v>
      </c>
      <c r="C9" s="5" t="s">
        <v>20</v>
      </c>
      <c r="D9" s="11" t="n">
        <f aca="false">'Trial Balances'!E9</f>
        <v>1500</v>
      </c>
      <c r="E9" s="13" t="n">
        <f aca="false">Inputs!$D$12</f>
        <v>1</v>
      </c>
      <c r="F9" s="6" t="n">
        <f aca="false">D9*E9</f>
        <v>1500</v>
      </c>
      <c r="G9" s="11" t="n">
        <f aca="false">'Trial Balances'!F9</f>
        <v>700</v>
      </c>
      <c r="H9" s="13" t="n">
        <f aca="false">Inputs!$D$12</f>
        <v>1</v>
      </c>
      <c r="I9" s="6" t="n">
        <f aca="false">G9*H9</f>
        <v>700</v>
      </c>
      <c r="J9" s="11" t="n">
        <f aca="false">'Trial Balances'!G9</f>
        <v>500</v>
      </c>
      <c r="K9" s="13" t="n">
        <f aca="false">Inputs!$D$13</f>
        <v>1.08</v>
      </c>
      <c r="L9" s="6" t="n">
        <f aca="false">J9*K9</f>
        <v>540</v>
      </c>
    </row>
    <row r="10" customFormat="false" ht="15" hidden="false" customHeight="false" outlineLevel="0" collapsed="false">
      <c r="B10" s="5" t="n">
        <v>1500</v>
      </c>
      <c r="C10" s="5" t="s">
        <v>18</v>
      </c>
      <c r="D10" s="11" t="n">
        <f aca="false">'Trial Balances'!E10</f>
        <v>6000</v>
      </c>
      <c r="E10" s="13" t="n">
        <f aca="false">Inputs!$D$12</f>
        <v>1</v>
      </c>
      <c r="F10" s="6" t="n">
        <f aca="false">D10*E10</f>
        <v>6000</v>
      </c>
      <c r="G10" s="11" t="n">
        <f aca="false">'Trial Balances'!F10</f>
        <v>2500</v>
      </c>
      <c r="H10" s="13" t="n">
        <f aca="false">Inputs!$D$12</f>
        <v>1</v>
      </c>
      <c r="I10" s="6" t="n">
        <f aca="false">G10*H10</f>
        <v>2500</v>
      </c>
      <c r="J10" s="11" t="n">
        <f aca="false">'Trial Balances'!G10</f>
        <v>1800</v>
      </c>
      <c r="K10" s="13" t="n">
        <f aca="false">Inputs!$D$13</f>
        <v>1.08</v>
      </c>
      <c r="L10" s="6" t="n">
        <f aca="false">J10*K10</f>
        <v>1944</v>
      </c>
    </row>
    <row r="11" customFormat="false" ht="15" hidden="false" customHeight="false" outlineLevel="0" collapsed="false">
      <c r="B11" s="5" t="n">
        <v>1600</v>
      </c>
      <c r="C11" s="5" t="s">
        <v>48</v>
      </c>
      <c r="D11" s="11" t="n">
        <f aca="false">'Trial Balances'!E11</f>
        <v>3580</v>
      </c>
      <c r="E11" s="13" t="n">
        <f aca="false">Inputs!$D$12</f>
        <v>1</v>
      </c>
      <c r="F11" s="6" t="n">
        <f aca="false">D11*E11</f>
        <v>3580</v>
      </c>
      <c r="G11" s="11" t="n">
        <f aca="false">'Trial Balances'!F11</f>
        <v>0</v>
      </c>
      <c r="H11" s="13" t="n">
        <f aca="false">Inputs!$D$12</f>
        <v>1</v>
      </c>
      <c r="I11" s="6" t="n">
        <f aca="false">G11*H11</f>
        <v>0</v>
      </c>
      <c r="J11" s="11" t="n">
        <f aca="false">'Trial Balances'!G11</f>
        <v>0</v>
      </c>
      <c r="K11" s="13" t="n">
        <f aca="false">Inputs!$D$13</f>
        <v>1.08</v>
      </c>
      <c r="L11" s="6" t="n">
        <f aca="false">J11*K11</f>
        <v>0</v>
      </c>
    </row>
    <row r="12" customFormat="false" ht="15" hidden="false" customHeight="false" outlineLevel="0" collapsed="false">
      <c r="B12" s="5" t="n">
        <v>2000</v>
      </c>
      <c r="C12" s="5" t="s">
        <v>33</v>
      </c>
      <c r="D12" s="11" t="n">
        <f aca="false">'Trial Balances'!E12</f>
        <v>-1700</v>
      </c>
      <c r="E12" s="13" t="n">
        <f aca="false">Inputs!$D$12</f>
        <v>1</v>
      </c>
      <c r="F12" s="6" t="n">
        <f aca="false">D12*E12</f>
        <v>-1700</v>
      </c>
      <c r="G12" s="11" t="n">
        <f aca="false">'Trial Balances'!F12</f>
        <v>-650</v>
      </c>
      <c r="H12" s="13" t="n">
        <f aca="false">Inputs!$D$12</f>
        <v>1</v>
      </c>
      <c r="I12" s="6" t="n">
        <f aca="false">G12*H12</f>
        <v>-650</v>
      </c>
      <c r="J12" s="11" t="n">
        <f aca="false">'Trial Balances'!G12</f>
        <v>-450</v>
      </c>
      <c r="K12" s="13" t="n">
        <f aca="false">Inputs!$D$13</f>
        <v>1.08</v>
      </c>
      <c r="L12" s="6" t="n">
        <f aca="false">J12*K12</f>
        <v>-486</v>
      </c>
    </row>
    <row r="13" customFormat="false" ht="15" hidden="false" customHeight="false" outlineLevel="0" collapsed="false">
      <c r="B13" s="5" t="n">
        <v>2150</v>
      </c>
      <c r="C13" s="5" t="s">
        <v>49</v>
      </c>
      <c r="D13" s="11" t="n">
        <f aca="false">'Trial Balances'!E13</f>
        <v>-150</v>
      </c>
      <c r="E13" s="13" t="n">
        <f aca="false">Inputs!$D$12</f>
        <v>1</v>
      </c>
      <c r="F13" s="6" t="n">
        <f aca="false">D13*E13</f>
        <v>-150</v>
      </c>
      <c r="G13" s="11" t="n">
        <f aca="false">'Trial Balances'!F13</f>
        <v>0</v>
      </c>
      <c r="H13" s="13" t="n">
        <f aca="false">Inputs!$D$12</f>
        <v>1</v>
      </c>
      <c r="I13" s="6" t="n">
        <f aca="false">G13*H13</f>
        <v>0</v>
      </c>
      <c r="J13" s="11" t="n">
        <f aca="false">'Trial Balances'!G13</f>
        <v>-500</v>
      </c>
      <c r="K13" s="13" t="n">
        <f aca="false">Inputs!$D$13</f>
        <v>1.08</v>
      </c>
      <c r="L13" s="6" t="n">
        <f aca="false">J13*K13</f>
        <v>-540</v>
      </c>
    </row>
    <row r="14" customFormat="false" ht="15" hidden="false" customHeight="false" outlineLevel="0" collapsed="false">
      <c r="B14" s="5" t="n">
        <v>2500</v>
      </c>
      <c r="C14" s="5" t="s">
        <v>32</v>
      </c>
      <c r="D14" s="11" t="n">
        <f aca="false">'Trial Balances'!E14</f>
        <v>-4000</v>
      </c>
      <c r="E14" s="13" t="n">
        <f aca="false">Inputs!$D$12</f>
        <v>1</v>
      </c>
      <c r="F14" s="6" t="n">
        <f aca="false">D14*E14</f>
        <v>-4000</v>
      </c>
      <c r="G14" s="11" t="n">
        <f aca="false">'Trial Balances'!F14</f>
        <v>-1000</v>
      </c>
      <c r="H14" s="13" t="n">
        <f aca="false">Inputs!$D$12</f>
        <v>1</v>
      </c>
      <c r="I14" s="6" t="n">
        <f aca="false">G14*H14</f>
        <v>-1000</v>
      </c>
      <c r="J14" s="11" t="n">
        <f aca="false">'Trial Balances'!G14</f>
        <v>-600</v>
      </c>
      <c r="K14" s="13" t="n">
        <f aca="false">Inputs!$D$13</f>
        <v>1.08</v>
      </c>
      <c r="L14" s="6" t="n">
        <f aca="false">J14*K14</f>
        <v>-648</v>
      </c>
    </row>
    <row r="15" customFormat="false" ht="15" hidden="false" customHeight="false" outlineLevel="0" collapsed="false">
      <c r="B15" s="5" t="n">
        <v>3000</v>
      </c>
      <c r="C15" s="5" t="s">
        <v>26</v>
      </c>
      <c r="D15" s="11" t="n">
        <f aca="false">'Trial Balances'!E15</f>
        <v>-5000</v>
      </c>
      <c r="E15" s="13" t="n">
        <f aca="false">Inputs!$F$12</f>
        <v>1</v>
      </c>
      <c r="F15" s="6" t="n">
        <f aca="false">D15*E15</f>
        <v>-5000</v>
      </c>
      <c r="G15" s="11" t="n">
        <f aca="false">'Trial Balances'!F15</f>
        <v>-1000</v>
      </c>
      <c r="H15" s="13" t="n">
        <f aca="false">Inputs!$F$12</f>
        <v>1</v>
      </c>
      <c r="I15" s="6" t="n">
        <f aca="false">G15*H15</f>
        <v>-1000</v>
      </c>
      <c r="J15" s="11" t="n">
        <f aca="false">'Trial Balances'!G15</f>
        <v>-1000</v>
      </c>
      <c r="K15" s="13" t="n">
        <f aca="false">Inputs!$F$13</f>
        <v>1.1</v>
      </c>
      <c r="L15" s="6" t="n">
        <f aca="false">J15*K15</f>
        <v>-1100</v>
      </c>
    </row>
    <row r="16" customFormat="false" ht="15" hidden="false" customHeight="false" outlineLevel="0" collapsed="false">
      <c r="B16" s="5" t="n">
        <v>3100</v>
      </c>
      <c r="C16" s="5" t="s">
        <v>50</v>
      </c>
      <c r="D16" s="11" t="n">
        <f aca="false">'Trial Balances'!E16</f>
        <v>-2300</v>
      </c>
      <c r="E16" s="13" t="n">
        <f aca="false">Inputs!$F$12</f>
        <v>1</v>
      </c>
      <c r="F16" s="6" t="n">
        <f aca="false">D16*E16</f>
        <v>-2300</v>
      </c>
      <c r="G16" s="11" t="n">
        <f aca="false">'Trial Balances'!F16</f>
        <v>-1460</v>
      </c>
      <c r="H16" s="13" t="n">
        <f aca="false">Inputs!$F$12</f>
        <v>1</v>
      </c>
      <c r="I16" s="6" t="n">
        <f aca="false">G16*H16</f>
        <v>-1460</v>
      </c>
      <c r="J16" s="11" t="n">
        <f aca="false">'Trial Balances'!G16</f>
        <v>-420</v>
      </c>
      <c r="K16" s="13" t="n">
        <f aca="false">IF(J16=0,0,L16/J16)</f>
        <v>1.0952380952381</v>
      </c>
      <c r="L16" s="6" t="n">
        <f aca="false">-Inputs!$H$8</f>
        <v>-460</v>
      </c>
    </row>
    <row r="17" customFormat="false" ht="15" hidden="false" customHeight="false" outlineLevel="0" collapsed="false">
      <c r="B17" s="5" t="n">
        <v>4000</v>
      </c>
      <c r="C17" s="5" t="s">
        <v>4</v>
      </c>
      <c r="D17" s="11" t="n">
        <f aca="false">'Trial Balances'!E17</f>
        <v>-14000</v>
      </c>
      <c r="E17" s="13" t="n">
        <f aca="false">Inputs!$E$12</f>
        <v>1</v>
      </c>
      <c r="F17" s="6" t="n">
        <f aca="false">D17*E17</f>
        <v>-14000</v>
      </c>
      <c r="G17" s="11" t="n">
        <f aca="false">'Trial Balances'!F17</f>
        <v>-4200</v>
      </c>
      <c r="H17" s="13" t="n">
        <f aca="false">Inputs!$E$12</f>
        <v>1</v>
      </c>
      <c r="I17" s="6" t="n">
        <f aca="false">G17*H17</f>
        <v>-4200</v>
      </c>
      <c r="J17" s="11" t="n">
        <f aca="false">'Trial Balances'!G17</f>
        <v>-3600</v>
      </c>
      <c r="K17" s="13" t="n">
        <f aca="false">Inputs!$E$13</f>
        <v>1.09</v>
      </c>
      <c r="L17" s="6" t="n">
        <f aca="false">J17*K17</f>
        <v>-3924</v>
      </c>
    </row>
    <row r="18" customFormat="false" ht="15" hidden="false" customHeight="false" outlineLevel="0" collapsed="false">
      <c r="B18" s="5" t="n">
        <v>4050</v>
      </c>
      <c r="C18" s="5" t="s">
        <v>51</v>
      </c>
      <c r="D18" s="11" t="n">
        <f aca="false">'Trial Balances'!E18</f>
        <v>0</v>
      </c>
      <c r="E18" s="13" t="n">
        <f aca="false">Inputs!$E$12</f>
        <v>1</v>
      </c>
      <c r="F18" s="6" t="n">
        <f aca="false">D18*E18</f>
        <v>0</v>
      </c>
      <c r="G18" s="11" t="n">
        <f aca="false">'Trial Balances'!F18</f>
        <v>-800</v>
      </c>
      <c r="H18" s="13" t="n">
        <f aca="false">Inputs!$E$12</f>
        <v>1</v>
      </c>
      <c r="I18" s="6" t="n">
        <f aca="false">G18*H18</f>
        <v>-800</v>
      </c>
      <c r="J18" s="11" t="n">
        <f aca="false">'Trial Balances'!G18</f>
        <v>0</v>
      </c>
      <c r="K18" s="13" t="n">
        <f aca="false">Inputs!$E$13</f>
        <v>1.09</v>
      </c>
      <c r="L18" s="6" t="n">
        <f aca="false">J18*K18</f>
        <v>0</v>
      </c>
    </row>
    <row r="19" customFormat="false" ht="15" hidden="false" customHeight="false" outlineLevel="0" collapsed="false">
      <c r="B19" s="5" t="n">
        <v>5000</v>
      </c>
      <c r="C19" s="5" t="s">
        <v>5</v>
      </c>
      <c r="D19" s="11" t="n">
        <f aca="false">'Trial Balances'!E19</f>
        <v>7600</v>
      </c>
      <c r="E19" s="13" t="n">
        <f aca="false">Inputs!$E$12</f>
        <v>1</v>
      </c>
      <c r="F19" s="6" t="n">
        <f aca="false">D19*E19</f>
        <v>7600</v>
      </c>
      <c r="G19" s="11" t="n">
        <f aca="false">'Trial Balances'!F19</f>
        <v>3000</v>
      </c>
      <c r="H19" s="13" t="n">
        <f aca="false">Inputs!$E$12</f>
        <v>1</v>
      </c>
      <c r="I19" s="6" t="n">
        <f aca="false">G19*H19</f>
        <v>3000</v>
      </c>
      <c r="J19" s="11" t="n">
        <f aca="false">'Trial Balances'!G19</f>
        <v>2200</v>
      </c>
      <c r="K19" s="13" t="n">
        <f aca="false">Inputs!$E$13</f>
        <v>1.09</v>
      </c>
      <c r="L19" s="6" t="n">
        <f aca="false">J19*K19</f>
        <v>2398</v>
      </c>
    </row>
    <row r="20" customFormat="false" ht="15" hidden="false" customHeight="false" outlineLevel="0" collapsed="false">
      <c r="B20" s="5" t="n">
        <v>5050</v>
      </c>
      <c r="C20" s="5" t="s">
        <v>52</v>
      </c>
      <c r="D20" s="11" t="n">
        <f aca="false">'Trial Balances'!E20</f>
        <v>800</v>
      </c>
      <c r="E20" s="13" t="n">
        <f aca="false">Inputs!$E$12</f>
        <v>1</v>
      </c>
      <c r="F20" s="6" t="n">
        <f aca="false">D20*E20</f>
        <v>800</v>
      </c>
      <c r="G20" s="11" t="n">
        <f aca="false">'Trial Balances'!F20</f>
        <v>0</v>
      </c>
      <c r="H20" s="13" t="n">
        <f aca="false">Inputs!$E$12</f>
        <v>1</v>
      </c>
      <c r="I20" s="6" t="n">
        <f aca="false">G20*H20</f>
        <v>0</v>
      </c>
      <c r="J20" s="11" t="n">
        <f aca="false">'Trial Balances'!G20</f>
        <v>0</v>
      </c>
      <c r="K20" s="13" t="n">
        <f aca="false">Inputs!$E$13</f>
        <v>1.09</v>
      </c>
      <c r="L20" s="6" t="n">
        <f aca="false">J20*K20</f>
        <v>0</v>
      </c>
    </row>
    <row r="21" customFormat="false" ht="15" hidden="false" customHeight="false" outlineLevel="0" collapsed="false">
      <c r="B21" s="5" t="n">
        <v>6000</v>
      </c>
      <c r="C21" s="5" t="s">
        <v>7</v>
      </c>
      <c r="D21" s="11" t="n">
        <f aca="false">'Trial Balances'!E21</f>
        <v>3100</v>
      </c>
      <c r="E21" s="13" t="n">
        <f aca="false">Inputs!$E$12</f>
        <v>1</v>
      </c>
      <c r="F21" s="6" t="n">
        <f aca="false">D21*E21</f>
        <v>3100</v>
      </c>
      <c r="G21" s="11" t="n">
        <f aca="false">'Trial Balances'!F21</f>
        <v>950</v>
      </c>
      <c r="H21" s="13" t="n">
        <f aca="false">Inputs!$E$12</f>
        <v>1</v>
      </c>
      <c r="I21" s="6" t="n">
        <f aca="false">G21*H21</f>
        <v>950</v>
      </c>
      <c r="J21" s="11" t="n">
        <f aca="false">'Trial Balances'!G21</f>
        <v>800</v>
      </c>
      <c r="K21" s="13" t="n">
        <f aca="false">Inputs!$E$13</f>
        <v>1.09</v>
      </c>
      <c r="L21" s="6" t="n">
        <f aca="false">J21*K21</f>
        <v>872</v>
      </c>
    </row>
    <row r="22" customFormat="false" ht="15" hidden="false" customHeight="false" outlineLevel="0" collapsed="false">
      <c r="B22" s="5" t="n">
        <v>7000</v>
      </c>
      <c r="C22" s="5" t="s">
        <v>9</v>
      </c>
      <c r="D22" s="11" t="n">
        <f aca="false">'Trial Balances'!E22</f>
        <v>280</v>
      </c>
      <c r="E22" s="13" t="n">
        <f aca="false">Inputs!$E$12</f>
        <v>1</v>
      </c>
      <c r="F22" s="6" t="n">
        <f aca="false">D22*E22</f>
        <v>280</v>
      </c>
      <c r="G22" s="11" t="n">
        <f aca="false">'Trial Balances'!F22</f>
        <v>60</v>
      </c>
      <c r="H22" s="13" t="n">
        <f aca="false">Inputs!$E$12</f>
        <v>1</v>
      </c>
      <c r="I22" s="6" t="n">
        <f aca="false">G22*H22</f>
        <v>60</v>
      </c>
      <c r="J22" s="11" t="n">
        <f aca="false">'Trial Balances'!G22</f>
        <v>30</v>
      </c>
      <c r="K22" s="13" t="n">
        <f aca="false">Inputs!$E$13</f>
        <v>1.09</v>
      </c>
      <c r="L22" s="6" t="n">
        <f aca="false">J22*K22</f>
        <v>32.7</v>
      </c>
    </row>
    <row r="23" customFormat="false" ht="15" hidden="false" customHeight="false" outlineLevel="0" collapsed="false">
      <c r="B23" s="5" t="n">
        <v>8000</v>
      </c>
      <c r="C23" s="5" t="s">
        <v>11</v>
      </c>
      <c r="D23" s="11" t="n">
        <f aca="false">'Trial Balances'!E23</f>
        <v>450</v>
      </c>
      <c r="E23" s="13" t="n">
        <f aca="false">Inputs!$E$12</f>
        <v>1</v>
      </c>
      <c r="F23" s="6" t="n">
        <f aca="false">D23*E23</f>
        <v>450</v>
      </c>
      <c r="G23" s="11" t="n">
        <f aca="false">'Trial Balances'!F23</f>
        <v>250</v>
      </c>
      <c r="H23" s="13" t="n">
        <f aca="false">Inputs!$E$12</f>
        <v>1</v>
      </c>
      <c r="I23" s="6" t="n">
        <f aca="false">G23*H23</f>
        <v>250</v>
      </c>
      <c r="J23" s="11" t="n">
        <f aca="false">'Trial Balances'!G23</f>
        <v>140</v>
      </c>
      <c r="K23" s="13" t="n">
        <f aca="false">Inputs!$E$13</f>
        <v>1.09</v>
      </c>
      <c r="L23" s="6" t="n">
        <f aca="false">J23*K23</f>
        <v>152.6</v>
      </c>
    </row>
    <row r="24" customFormat="false" ht="15" hidden="false" customHeight="false" outlineLevel="0" collapsed="false">
      <c r="B24" s="5" t="n">
        <v>3200</v>
      </c>
      <c r="C24" s="5" t="s">
        <v>28</v>
      </c>
      <c r="F24" s="8" t="n">
        <f aca="false">-SUM(F6:F23)</f>
        <v>-0</v>
      </c>
      <c r="I24" s="8" t="n">
        <f aca="false">-SUM(I6:I23)</f>
        <v>-0</v>
      </c>
      <c r="L24" s="8" t="n">
        <f aca="false">-SUM(L6:L23)</f>
        <v>30.7000000000002</v>
      </c>
    </row>
    <row r="26" customFormat="false" ht="15" hidden="false" customHeight="false" outlineLevel="0" collapsed="false">
      <c r="B26" s="3" t="s">
        <v>76</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G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8"/>
    <col collapsed="false" customWidth="true" hidden="false" outlineLevel="0" max="3" min="3" style="0" width="30"/>
    <col collapsed="false" customWidth="true" hidden="false" outlineLevel="0" max="4" min="4" style="0" width="6"/>
    <col collapsed="false" customWidth="true" hidden="false" outlineLevel="0" max="7" min="5" style="0" width="13"/>
  </cols>
  <sheetData>
    <row r="1" customFormat="false" ht="17.35" hidden="false" customHeight="false" outlineLevel="0" collapsed="false">
      <c r="B1" s="1" t="s">
        <v>0</v>
      </c>
    </row>
    <row r="2" customFormat="false" ht="15" hidden="false" customHeight="false" outlineLevel="0" collapsed="false">
      <c r="B2" s="2" t="s">
        <v>77</v>
      </c>
    </row>
    <row r="3" customFormat="false" ht="15" hidden="false" customHeight="false" outlineLevel="0" collapsed="false">
      <c r="B3" s="3" t="s">
        <v>78</v>
      </c>
    </row>
    <row r="5" customFormat="false" ht="23.85" hidden="false" customHeight="false" outlineLevel="0" collapsed="false">
      <c r="B5" s="4" t="s">
        <v>39</v>
      </c>
      <c r="C5" s="4" t="s">
        <v>40</v>
      </c>
      <c r="D5" s="10" t="s">
        <v>79</v>
      </c>
      <c r="E5" s="10" t="s">
        <v>41</v>
      </c>
      <c r="F5" s="10" t="s">
        <v>42</v>
      </c>
      <c r="G5" s="10" t="s">
        <v>80</v>
      </c>
    </row>
    <row r="6" customFormat="false" ht="15" hidden="false" customHeight="false" outlineLevel="0" collapsed="false">
      <c r="B6" s="5" t="n">
        <v>1000</v>
      </c>
      <c r="C6" s="5" t="s">
        <v>23</v>
      </c>
      <c r="D6" s="5" t="s">
        <v>81</v>
      </c>
      <c r="E6" s="14" t="n">
        <v>1200</v>
      </c>
      <c r="F6" s="14" t="n">
        <v>600</v>
      </c>
      <c r="G6" s="14" t="n">
        <v>400</v>
      </c>
    </row>
    <row r="7" customFormat="false" ht="15" hidden="false" customHeight="false" outlineLevel="0" collapsed="false">
      <c r="B7" s="5" t="n">
        <v>1100</v>
      </c>
      <c r="C7" s="5" t="s">
        <v>21</v>
      </c>
      <c r="D7" s="5" t="s">
        <v>81</v>
      </c>
      <c r="E7" s="14" t="n">
        <v>2100</v>
      </c>
      <c r="F7" s="14" t="n">
        <v>900</v>
      </c>
      <c r="G7" s="14" t="n">
        <v>700</v>
      </c>
    </row>
    <row r="8" customFormat="false" ht="15" hidden="false" customHeight="false" outlineLevel="0" collapsed="false">
      <c r="B8" s="5" t="n">
        <v>1150</v>
      </c>
      <c r="C8" s="5" t="s">
        <v>47</v>
      </c>
      <c r="D8" s="5" t="s">
        <v>81</v>
      </c>
      <c r="E8" s="14" t="n">
        <v>540</v>
      </c>
      <c r="F8" s="14" t="n">
        <v>150</v>
      </c>
      <c r="G8" s="14" t="n">
        <v>0</v>
      </c>
    </row>
    <row r="9" customFormat="false" ht="15" hidden="false" customHeight="false" outlineLevel="0" collapsed="false">
      <c r="B9" s="5" t="n">
        <v>1200</v>
      </c>
      <c r="C9" s="5" t="s">
        <v>20</v>
      </c>
      <c r="D9" s="5" t="s">
        <v>81</v>
      </c>
      <c r="E9" s="14" t="n">
        <v>1500</v>
      </c>
      <c r="F9" s="14" t="n">
        <v>700</v>
      </c>
      <c r="G9" s="14" t="n">
        <v>500</v>
      </c>
    </row>
    <row r="10" customFormat="false" ht="15" hidden="false" customHeight="false" outlineLevel="0" collapsed="false">
      <c r="B10" s="5" t="n">
        <v>1500</v>
      </c>
      <c r="C10" s="5" t="s">
        <v>18</v>
      </c>
      <c r="D10" s="5" t="s">
        <v>81</v>
      </c>
      <c r="E10" s="14" t="n">
        <v>6000</v>
      </c>
      <c r="F10" s="14" t="n">
        <v>2500</v>
      </c>
      <c r="G10" s="14" t="n">
        <v>1800</v>
      </c>
    </row>
    <row r="11" customFormat="false" ht="15" hidden="false" customHeight="false" outlineLevel="0" collapsed="false">
      <c r="B11" s="5" t="n">
        <v>1600</v>
      </c>
      <c r="C11" s="5" t="s">
        <v>48</v>
      </c>
      <c r="D11" s="5" t="s">
        <v>81</v>
      </c>
      <c r="E11" s="14" t="n">
        <v>3580</v>
      </c>
      <c r="F11" s="14" t="n">
        <v>0</v>
      </c>
      <c r="G11" s="14" t="n">
        <v>0</v>
      </c>
    </row>
    <row r="12" customFormat="false" ht="15" hidden="false" customHeight="false" outlineLevel="0" collapsed="false">
      <c r="B12" s="5" t="n">
        <v>2000</v>
      </c>
      <c r="C12" s="5" t="s">
        <v>33</v>
      </c>
      <c r="D12" s="5" t="s">
        <v>82</v>
      </c>
      <c r="E12" s="14" t="n">
        <v>-1700</v>
      </c>
      <c r="F12" s="14" t="n">
        <v>-650</v>
      </c>
      <c r="G12" s="14" t="n">
        <v>-450</v>
      </c>
    </row>
    <row r="13" customFormat="false" ht="15" hidden="false" customHeight="false" outlineLevel="0" collapsed="false">
      <c r="B13" s="5" t="n">
        <v>2150</v>
      </c>
      <c r="C13" s="5" t="s">
        <v>49</v>
      </c>
      <c r="D13" s="5" t="s">
        <v>82</v>
      </c>
      <c r="E13" s="14" t="n">
        <v>-150</v>
      </c>
      <c r="F13" s="14" t="n">
        <v>0</v>
      </c>
      <c r="G13" s="14" t="n">
        <v>-500</v>
      </c>
    </row>
    <row r="14" customFormat="false" ht="15" hidden="false" customHeight="false" outlineLevel="0" collapsed="false">
      <c r="B14" s="5" t="n">
        <v>2500</v>
      </c>
      <c r="C14" s="5" t="s">
        <v>32</v>
      </c>
      <c r="D14" s="5" t="s">
        <v>82</v>
      </c>
      <c r="E14" s="14" t="n">
        <v>-4000</v>
      </c>
      <c r="F14" s="14" t="n">
        <v>-1000</v>
      </c>
      <c r="G14" s="14" t="n">
        <v>-600</v>
      </c>
    </row>
    <row r="15" customFormat="false" ht="15" hidden="false" customHeight="false" outlineLevel="0" collapsed="false">
      <c r="B15" s="5" t="n">
        <v>3000</v>
      </c>
      <c r="C15" s="5" t="s">
        <v>26</v>
      </c>
      <c r="D15" s="5" t="s">
        <v>83</v>
      </c>
      <c r="E15" s="14" t="n">
        <v>-5000</v>
      </c>
      <c r="F15" s="14" t="n">
        <v>-1000</v>
      </c>
      <c r="G15" s="14" t="n">
        <v>-1000</v>
      </c>
    </row>
    <row r="16" customFormat="false" ht="15" hidden="false" customHeight="false" outlineLevel="0" collapsed="false">
      <c r="B16" s="5" t="n">
        <v>3100</v>
      </c>
      <c r="C16" s="5" t="s">
        <v>50</v>
      </c>
      <c r="D16" s="5" t="s">
        <v>83</v>
      </c>
      <c r="E16" s="14" t="n">
        <v>-2300</v>
      </c>
      <c r="F16" s="14" t="n">
        <v>-1460</v>
      </c>
      <c r="G16" s="14" t="n">
        <v>-420</v>
      </c>
    </row>
    <row r="17" customFormat="false" ht="15" hidden="false" customHeight="false" outlineLevel="0" collapsed="false">
      <c r="B17" s="5" t="n">
        <v>4000</v>
      </c>
      <c r="C17" s="5" t="s">
        <v>4</v>
      </c>
      <c r="D17" s="5" t="s">
        <v>84</v>
      </c>
      <c r="E17" s="14" t="n">
        <v>-14000</v>
      </c>
      <c r="F17" s="14" t="n">
        <v>-4200</v>
      </c>
      <c r="G17" s="14" t="n">
        <v>-3600</v>
      </c>
    </row>
    <row r="18" customFormat="false" ht="15" hidden="false" customHeight="false" outlineLevel="0" collapsed="false">
      <c r="B18" s="5" t="n">
        <v>4050</v>
      </c>
      <c r="C18" s="5" t="s">
        <v>51</v>
      </c>
      <c r="D18" s="5" t="s">
        <v>84</v>
      </c>
      <c r="E18" s="14" t="n">
        <v>0</v>
      </c>
      <c r="F18" s="14" t="n">
        <v>-800</v>
      </c>
      <c r="G18" s="14" t="n">
        <v>0</v>
      </c>
    </row>
    <row r="19" customFormat="false" ht="15" hidden="false" customHeight="false" outlineLevel="0" collapsed="false">
      <c r="B19" s="5" t="n">
        <v>5000</v>
      </c>
      <c r="C19" s="5" t="s">
        <v>5</v>
      </c>
      <c r="D19" s="5" t="s">
        <v>85</v>
      </c>
      <c r="E19" s="14" t="n">
        <v>7600</v>
      </c>
      <c r="F19" s="14" t="n">
        <v>3000</v>
      </c>
      <c r="G19" s="14" t="n">
        <v>2200</v>
      </c>
    </row>
    <row r="20" customFormat="false" ht="15" hidden="false" customHeight="false" outlineLevel="0" collapsed="false">
      <c r="B20" s="5" t="n">
        <v>5050</v>
      </c>
      <c r="C20" s="5" t="s">
        <v>52</v>
      </c>
      <c r="D20" s="5" t="s">
        <v>85</v>
      </c>
      <c r="E20" s="14" t="n">
        <v>800</v>
      </c>
      <c r="F20" s="14" t="n">
        <v>0</v>
      </c>
      <c r="G20" s="14" t="n">
        <v>0</v>
      </c>
    </row>
    <row r="21" customFormat="false" ht="15" hidden="false" customHeight="false" outlineLevel="0" collapsed="false">
      <c r="B21" s="5" t="n">
        <v>6000</v>
      </c>
      <c r="C21" s="5" t="s">
        <v>7</v>
      </c>
      <c r="D21" s="5" t="s">
        <v>85</v>
      </c>
      <c r="E21" s="14" t="n">
        <v>3100</v>
      </c>
      <c r="F21" s="14" t="n">
        <v>950</v>
      </c>
      <c r="G21" s="14" t="n">
        <v>800</v>
      </c>
    </row>
    <row r="22" customFormat="false" ht="15" hidden="false" customHeight="false" outlineLevel="0" collapsed="false">
      <c r="B22" s="5" t="n">
        <v>7000</v>
      </c>
      <c r="C22" s="5" t="s">
        <v>9</v>
      </c>
      <c r="D22" s="5" t="s">
        <v>85</v>
      </c>
      <c r="E22" s="14" t="n">
        <v>280</v>
      </c>
      <c r="F22" s="14" t="n">
        <v>60</v>
      </c>
      <c r="G22" s="14" t="n">
        <v>30</v>
      </c>
    </row>
    <row r="23" customFormat="false" ht="15" hidden="false" customHeight="false" outlineLevel="0" collapsed="false">
      <c r="B23" s="5" t="n">
        <v>8000</v>
      </c>
      <c r="C23" s="5" t="s">
        <v>11</v>
      </c>
      <c r="D23" s="5" t="s">
        <v>85</v>
      </c>
      <c r="E23" s="14" t="n">
        <v>450</v>
      </c>
      <c r="F23" s="14" t="n">
        <v>250</v>
      </c>
      <c r="G23" s="14" t="n">
        <v>140</v>
      </c>
    </row>
    <row r="24" customFormat="false" ht="15" hidden="false" customHeight="false" outlineLevel="0" collapsed="false">
      <c r="C24" s="7" t="s">
        <v>53</v>
      </c>
      <c r="E24" s="8" t="n">
        <f aca="false">SUM(E6:E23)</f>
        <v>0</v>
      </c>
      <c r="F24" s="8" t="n">
        <f aca="false">SUM(F6:F23)</f>
        <v>0</v>
      </c>
      <c r="G24" s="8" t="n">
        <f aca="false">SUM(G6:G23)</f>
        <v>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46"/>
    <col collapsed="false" customWidth="true" hidden="false" outlineLevel="0" max="4" min="4" style="0" width="10"/>
    <col collapsed="false" customWidth="true" hidden="false" outlineLevel="0" max="5" min="5" style="0" width="11"/>
    <col collapsed="false" customWidth="true" hidden="false" outlineLevel="0" max="6" min="6" style="0" width="12"/>
    <col collapsed="false" customWidth="true" hidden="false" outlineLevel="0" max="7" min="7" style="0" width="14"/>
    <col collapsed="false" customWidth="true" hidden="false" outlineLevel="0" max="8" min="8" style="0" width="12"/>
  </cols>
  <sheetData>
    <row r="1" customFormat="false" ht="17.35" hidden="false" customHeight="false" outlineLevel="0" collapsed="false">
      <c r="B1" s="1" t="s">
        <v>0</v>
      </c>
    </row>
    <row r="2" customFormat="false" ht="15" hidden="false" customHeight="false" outlineLevel="0" collapsed="false">
      <c r="B2" s="2" t="s">
        <v>86</v>
      </c>
    </row>
    <row r="3" customFormat="false" ht="15" hidden="false" customHeight="false" outlineLevel="0" collapsed="false">
      <c r="B3" s="3" t="s">
        <v>2</v>
      </c>
    </row>
    <row r="5" customFormat="false" ht="35.05" hidden="false" customHeight="false" outlineLevel="0" collapsed="false">
      <c r="B5" s="4" t="s">
        <v>87</v>
      </c>
      <c r="C5" s="4" t="s">
        <v>88</v>
      </c>
      <c r="D5" s="10" t="s">
        <v>89</v>
      </c>
      <c r="E5" s="10" t="s">
        <v>90</v>
      </c>
      <c r="F5" s="10" t="s">
        <v>91</v>
      </c>
      <c r="G5" s="10" t="s">
        <v>92</v>
      </c>
      <c r="H5" s="10" t="s">
        <v>93</v>
      </c>
    </row>
    <row r="6" customFormat="false" ht="15" hidden="false" customHeight="false" outlineLevel="0" collapsed="false">
      <c r="B6" s="6" t="s">
        <v>94</v>
      </c>
      <c r="C6" s="6" t="s">
        <v>95</v>
      </c>
      <c r="D6" s="6" t="s">
        <v>96</v>
      </c>
      <c r="E6" s="15" t="n">
        <v>1</v>
      </c>
      <c r="F6" s="14" t="n">
        <v>0</v>
      </c>
      <c r="G6" s="14" t="n">
        <v>0</v>
      </c>
      <c r="H6" s="14"/>
    </row>
    <row r="7" customFormat="false" ht="15" hidden="false" customHeight="false" outlineLevel="0" collapsed="false">
      <c r="B7" s="6" t="s">
        <v>97</v>
      </c>
      <c r="C7" s="6" t="s">
        <v>98</v>
      </c>
      <c r="D7" s="6" t="s">
        <v>96</v>
      </c>
      <c r="E7" s="15" t="n">
        <v>1</v>
      </c>
      <c r="F7" s="14" t="n">
        <v>2700</v>
      </c>
      <c r="G7" s="14" t="n">
        <v>1200</v>
      </c>
      <c r="H7" s="14"/>
    </row>
    <row r="8" customFormat="false" ht="15" hidden="false" customHeight="false" outlineLevel="0" collapsed="false">
      <c r="B8" s="6" t="s">
        <v>99</v>
      </c>
      <c r="C8" s="6" t="s">
        <v>100</v>
      </c>
      <c r="D8" s="6" t="s">
        <v>101</v>
      </c>
      <c r="E8" s="15" t="n">
        <v>0.8</v>
      </c>
      <c r="F8" s="14" t="n">
        <v>880</v>
      </c>
      <c r="G8" s="14" t="n">
        <v>0</v>
      </c>
      <c r="H8" s="14" t="n">
        <v>460</v>
      </c>
    </row>
    <row r="11" customFormat="false" ht="15" hidden="false" customHeight="false" outlineLevel="0" collapsed="false">
      <c r="B11" s="4" t="s">
        <v>89</v>
      </c>
      <c r="C11" s="4"/>
      <c r="D11" s="10" t="s">
        <v>102</v>
      </c>
      <c r="E11" s="10" t="s">
        <v>103</v>
      </c>
      <c r="F11" s="10" t="s">
        <v>104</v>
      </c>
    </row>
    <row r="12" customFormat="false" ht="15" hidden="false" customHeight="false" outlineLevel="0" collapsed="false">
      <c r="B12" s="5" t="s">
        <v>96</v>
      </c>
      <c r="D12" s="16" t="n">
        <v>1</v>
      </c>
      <c r="E12" s="16" t="n">
        <v>1</v>
      </c>
      <c r="F12" s="16" t="n">
        <v>1</v>
      </c>
    </row>
    <row r="13" customFormat="false" ht="15" hidden="false" customHeight="false" outlineLevel="0" collapsed="false">
      <c r="B13" s="5" t="s">
        <v>101</v>
      </c>
      <c r="D13" s="16" t="n">
        <v>1.08</v>
      </c>
      <c r="E13" s="16" t="n">
        <v>1.09</v>
      </c>
      <c r="F13" s="16" t="n">
        <v>1.1</v>
      </c>
    </row>
    <row r="16" customFormat="false" ht="23.85" hidden="false" customHeight="false" outlineLevel="0" collapsed="false">
      <c r="B16" s="4" t="s">
        <v>79</v>
      </c>
      <c r="C16" s="4" t="s">
        <v>56</v>
      </c>
      <c r="D16" s="10" t="s">
        <v>105</v>
      </c>
      <c r="E16" s="10" t="s">
        <v>106</v>
      </c>
      <c r="F16" s="10" t="s">
        <v>107</v>
      </c>
    </row>
    <row r="17" customFormat="false" ht="15" hidden="false" customHeight="false" outlineLevel="0" collapsed="false">
      <c r="B17" s="5" t="s">
        <v>108</v>
      </c>
      <c r="C17" s="5" t="s">
        <v>109</v>
      </c>
      <c r="D17" s="5" t="s">
        <v>97</v>
      </c>
      <c r="E17" s="5" t="s">
        <v>94</v>
      </c>
      <c r="F17" s="14" t="n">
        <v>150</v>
      </c>
    </row>
    <row r="18" customFormat="false" ht="15" hidden="false" customHeight="false" outlineLevel="0" collapsed="false">
      <c r="B18" s="5" t="s">
        <v>108</v>
      </c>
      <c r="C18" s="5" t="s">
        <v>110</v>
      </c>
      <c r="D18" s="5" t="s">
        <v>94</v>
      </c>
      <c r="E18" s="5" t="s">
        <v>99</v>
      </c>
      <c r="F18" s="14" t="n">
        <v>540</v>
      </c>
    </row>
    <row r="19" customFormat="false" ht="15" hidden="false" customHeight="false" outlineLevel="0" collapsed="false">
      <c r="B19" s="5" t="s">
        <v>111</v>
      </c>
      <c r="C19" s="5" t="s">
        <v>112</v>
      </c>
      <c r="D19" s="5" t="s">
        <v>97</v>
      </c>
      <c r="E19" s="5" t="s">
        <v>94</v>
      </c>
      <c r="F19" s="14" t="n">
        <v>800</v>
      </c>
    </row>
    <row r="20" customFormat="false" ht="15" hidden="false" customHeight="false" outlineLevel="0" collapsed="false">
      <c r="B20" s="5" t="s">
        <v>113</v>
      </c>
      <c r="C20" s="5" t="s">
        <v>114</v>
      </c>
      <c r="D20" s="5" t="s">
        <v>97</v>
      </c>
      <c r="E20" s="5" t="s">
        <v>94</v>
      </c>
      <c r="F20" s="14" t="n">
        <v>50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3" min="3" style="0" width="14"/>
  </cols>
  <sheetData>
    <row r="1" customFormat="false" ht="17.35" hidden="false" customHeight="false" outlineLevel="0" collapsed="false">
      <c r="B1" s="1" t="s">
        <v>0</v>
      </c>
    </row>
    <row r="2" customFormat="false" ht="15" hidden="false" customHeight="false" outlineLevel="0" collapsed="false">
      <c r="B2" s="2" t="s">
        <v>115</v>
      </c>
    </row>
    <row r="3" customFormat="false" ht="15" hidden="false" customHeight="false" outlineLevel="0" collapsed="false">
      <c r="B3" s="3" t="s">
        <v>2</v>
      </c>
    </row>
    <row r="6" customFormat="false" ht="15" hidden="false" customHeight="false" outlineLevel="0" collapsed="false">
      <c r="B6" s="5" t="s">
        <v>116</v>
      </c>
      <c r="C6" s="6" t="n">
        <f aca="false">ROUND(ABS('Trial Balances'!E24)+ABS('Trial Balances'!F24)+ABS('Trial Balances'!G24),2)</f>
        <v>0</v>
      </c>
    </row>
    <row r="7" customFormat="false" ht="15" hidden="false" customHeight="false" outlineLevel="0" collapsed="false">
      <c r="B7" s="5" t="s">
        <v>117</v>
      </c>
      <c r="C7" s="6" t="n">
        <f aca="false">ROUND(ABS(Eliminations!F28),2)</f>
        <v>0</v>
      </c>
    </row>
    <row r="8" customFormat="false" ht="15" hidden="false" customHeight="false" outlineLevel="0" collapsed="false">
      <c r="B8" s="5" t="s">
        <v>118</v>
      </c>
      <c r="C8" s="6" t="n">
        <f aca="false">ROUND(ABS(Consolidation!I27),2)</f>
        <v>0</v>
      </c>
    </row>
    <row r="9" customFormat="false" ht="15" hidden="false" customHeight="false" outlineLevel="0" collapsed="false">
      <c r="B9" s="5" t="s">
        <v>119</v>
      </c>
      <c r="C9" s="6" t="n">
        <f aca="false">ROUND(ABS(Consolidation!I8)+ABS(Consolidation!I14),2)</f>
        <v>0</v>
      </c>
    </row>
    <row r="10" customFormat="false" ht="15" hidden="false" customHeight="false" outlineLevel="0" collapsed="false">
      <c r="B10" s="5" t="s">
        <v>120</v>
      </c>
      <c r="C10" s="6" t="n">
        <f aca="false">ROUND(ABS(Consolidation!I21)+ABS(Consolidation!I23),2)</f>
        <v>0</v>
      </c>
    </row>
    <row r="11" customFormat="false" ht="15" hidden="false" customHeight="false" outlineLevel="0" collapsed="false">
      <c r="B11" s="5" t="s">
        <v>121</v>
      </c>
      <c r="C11" s="6" t="n">
        <f aca="false">ROUND(ABS('Consolidated BS'!C28),2)</f>
        <v>0</v>
      </c>
    </row>
    <row r="13" customFormat="false" ht="15" hidden="false" customHeight="false" outlineLevel="0" collapsed="false">
      <c r="B13" s="7" t="s">
        <v>122</v>
      </c>
      <c r="C13" s="7" t="str">
        <f aca="false">IF(SUM(C6:C11)=0,"OK","ERROR")</f>
        <v>OK</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2026-10-19T18:59:38Z</dcterms:created>
  <dc:creator>openpyxl</dc:creator>
  <dc:description/>
  <dc:language>en-US</dc:language>
  <cp:lastModifiedBy/>
  <dcterms:modified xsi:type="dcterms:W3CDTF">2026-10-19T18:59:38Z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