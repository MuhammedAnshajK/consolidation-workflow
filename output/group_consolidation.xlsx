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IS" sheetId="1" state="visible" r:id="rId3"/>
    <sheet name="Consolidated BS" sheetId="2" state="visible" r:id="rId4"/>
    <sheet name="IFRS Treatment" sheetId="3" state="visible" r:id="rId5"/>
    <sheet name="Consolidation" sheetId="4" state="visible" r:id="rId6"/>
    <sheet name="Eliminations" sheetId="5" state="visible" r:id="rId7"/>
    <sheet name="Associates" sheetId="6" state="visible" r:id="rId8"/>
    <sheet name="Translation" sheetId="7" state="visible" r:id="rId9"/>
    <sheet name="Trial Balances" sheetId="8" state="visible" r:id="rId10"/>
    <sheet name="Inputs" sheetId="9" state="visible" r:id="rId11"/>
    <sheet name="Check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<sst xmlns="http://schemas.openxmlformats.org/spreadsheetml/2006/main" count="529" uniqueCount="288">
  <si>
    <t xml:space="preserve">Illustrative Group</t>
  </si>
  <si>
    <t xml:space="preserve">Consolidated income statement for the year ended 31 December 2025</t>
  </si>
  <si>
    <t xml:space="preserve">USD thousands</t>
  </si>
  <si>
    <t xml:space="preserve">2025</t>
  </si>
  <si>
    <t xml:space="preserve">Revenue</t>
  </si>
  <si>
    <t xml:space="preserve">Cost of sales</t>
  </si>
  <si>
    <t xml:space="preserve">Gross profit</t>
  </si>
  <si>
    <t xml:space="preserve">Operating expenses</t>
  </si>
  <si>
    <t xml:space="preserve">Operating profit</t>
  </si>
  <si>
    <t xml:space="preserve">Share of profit of associates (equity method)</t>
  </si>
  <si>
    <t xml:space="preserve">Dividend income from associates (eliminated)</t>
  </si>
  <si>
    <t xml:space="preserve">Interest expense</t>
  </si>
  <si>
    <t xml:space="preserve">Profit before tax</t>
  </si>
  <si>
    <t xml:space="preserve">Income tax expense</t>
  </si>
  <si>
    <t xml:space="preserve">Profit for the year</t>
  </si>
  <si>
    <t xml:space="preserve">Attributable to owners of the parent</t>
  </si>
  <si>
    <t xml:space="preserve">Attributable to non-controlling interests</t>
  </si>
  <si>
    <t xml:space="preserve">Unrealised profit is eliminated in full against the seller (Sub One, 100% owned), so it has no NCI effect.</t>
  </si>
  <si>
    <t xml:space="preserve">Share of profit of associates is after tax and after the impairment loss (see the Associates sheet). The group's share of unrealised profit on sales to associates is charged to cost of sales.</t>
  </si>
  <si>
    <t xml:space="preserve">Consolidated balance sheet at 31 December 2025</t>
  </si>
  <si>
    <t xml:space="preserve">Goodwill</t>
  </si>
  <si>
    <t xml:space="preserve">Property, plant and equipment</t>
  </si>
  <si>
    <t xml:space="preserve">Investments in associates (equity method)</t>
  </si>
  <si>
    <t xml:space="preserve">Total non-current assets</t>
  </si>
  <si>
    <t xml:space="preserve">Inventory</t>
  </si>
  <si>
    <t xml:space="preserve">Trade receivables</t>
  </si>
  <si>
    <t xml:space="preserve">Intercompany receivable (eliminated)</t>
  </si>
  <si>
    <t xml:space="preserve">Cash</t>
  </si>
  <si>
    <t xml:space="preserve">Total current assets</t>
  </si>
  <si>
    <t xml:space="preserve">Total assets</t>
  </si>
  <si>
    <t xml:space="preserve">Share capital</t>
  </si>
  <si>
    <t xml:space="preserve">Retained earnings</t>
  </si>
  <si>
    <t xml:space="preserve">Translation reserve</t>
  </si>
  <si>
    <t xml:space="preserve">Equity attributable to owners of the parent</t>
  </si>
  <si>
    <t xml:space="preserve">Non-controlling interests</t>
  </si>
  <si>
    <t xml:space="preserve">Total equity</t>
  </si>
  <si>
    <t xml:space="preserve">Borrowings</t>
  </si>
  <si>
    <t xml:space="preserve">Trade payables</t>
  </si>
  <si>
    <t xml:space="preserve">Intercompany payable (eliminated)</t>
  </si>
  <si>
    <t xml:space="preserve">Total liabilities</t>
  </si>
  <si>
    <t xml:space="preserve">Total equity and liabilities</t>
  </si>
  <si>
    <t xml:space="preserve">Check: assets less equity and liabilities</t>
  </si>
  <si>
    <t xml:space="preserve">How each entity is treated under IFRS</t>
  </si>
  <si>
    <t xml:space="preserve">Parent incorporated in the UAE; consolidated financial statements prepared under IFRS Accounting Standards</t>
  </si>
  <si>
    <t xml:space="preserve">Entity</t>
  </si>
  <si>
    <t xml:space="preserve">Relationship</t>
  </si>
  <si>
    <t xml:space="preserve">Ownership</t>
  </si>
  <si>
    <t xml:space="preserve">Standards</t>
  </si>
  <si>
    <t xml:space="preserve">Method</t>
  </si>
  <si>
    <t xml:space="preserve">How it is treated in this workbook</t>
  </si>
  <si>
    <t xml:space="preserve">Parent Co. (UAE)</t>
  </si>
  <si>
    <t xml:space="preserve">Parent and reporting entity, incorporated in the UAE</t>
  </si>
  <si>
    <t xml:space="preserve">IFRS 10, IAS 1, IAS 21</t>
  </si>
  <si>
    <t xml:space="preserve">Prepares the consolidated statements</t>
  </si>
  <si>
    <t xml:space="preserve">The UAE requires companies to prepare their financial statements under IFRS, so the group reports under IFRS. Combined in full. Functional and presentation currency USD: most sales, pricing and financing are in USD (IAS 21.9), and the UAE dirham is pegged to it.</t>
  </si>
  <si>
    <t xml:space="preserve">Subsidiary One (US)</t>
  </si>
  <si>
    <t xml:space="preserve">Subsidiary: 100% of the voting rights gives control</t>
  </si>
  <si>
    <t xml:space="preserve">IFRS 10, IFRS 3</t>
  </si>
  <si>
    <t xml:space="preserve">Full consolidation (acquisition method)</t>
  </si>
  <si>
    <t xml:space="preserve">Combined line by line. The investment is eliminated against share capital and pre-acquisition reserves; any excess of cost is goodwill.</t>
  </si>
  <si>
    <t xml:space="preserve">Subsidiary Two (Germany)</t>
  </si>
  <si>
    <t xml:space="preserve">Subsidiary: 80% of the voting rights (a majority) gives control</t>
  </si>
  <si>
    <t xml:space="preserve">IFRS 10, IFRS 3, IAS 21</t>
  </si>
  <si>
    <t xml:space="preserve">Full consolidation (acquisition method) with NCI</t>
  </si>
  <si>
    <t xml:space="preserve">Translated from EUR to USD first. Combined line by line. The investment is eliminated against share capital and pre-acquisition reserves; any excess of cost is goodwill. Goodwill is held in EUR and retranslated at the closing rate. The other 20% is a non-controlling interest, shown in equity, with its share of profit and translation differences.</t>
  </si>
  <si>
    <t xml:space="preserve">Subsidiary Three (UK)</t>
  </si>
  <si>
    <t xml:space="preserve">Subsidiary: 70% held by Subsidiary One (US), so the parent controls it indirectly (sub-subsidiary)</t>
  </si>
  <si>
    <t xml:space="preserve">Translated from GBP to USD first. Combined line by line. The investment is eliminated against share capital and pre-acquisition reserves; any excess of cost is goodwill. Group effective interest is 70%; goodwill and NCI are measured on that interest. Goodwill is held in GBP and retranslated at the closing rate. The other 30% is a non-controlling interest, shown in equity, with its share of profit and translation differences.</t>
  </si>
  <si>
    <t xml:space="preserve">Subsidiary Four (France)</t>
  </si>
  <si>
    <t xml:space="preserve">Subsidiary: 75% held by Subsidiary Two (Germany), so the parent controls it indirectly (sub-subsidiary)</t>
  </si>
  <si>
    <t xml:space="preserve">Translated from EUR to USD first. Combined line by line. The investment is eliminated against share capital and pre-acquisition reserves; any excess of cost is goodwill. Group effective interest is 60%; goodwill and NCI are measured on that interest. The EUR holding company's investment is removed at the closing rate and its translation difference reversed. Goodwill is held in EUR and retranslated at the closing rate. The other 40% is a non-controlling interest, shown in equity, with its share of profit and translation differences.</t>
  </si>
  <si>
    <t xml:space="preserve">Associate One (UAE)</t>
  </si>
  <si>
    <t xml:space="preserve">Associate: 30% of the voting rights: presumed significant influence, not control</t>
  </si>
  <si>
    <t xml:space="preserve">IAS 28, IAS 21</t>
  </si>
  <si>
    <t xml:space="preserve">Equity method</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</si>
  <si>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Its results are translated from AED.</t>
  </si>
  <si>
    <t xml:space="preserve">Associate Two (US)</t>
  </si>
  <si>
    <t xml:space="preserve">Associate: 25% of the voting rights: presumed significant influence, not control</t>
  </si>
  <si>
    <t xml:space="preserve">IAS 28, IAS 36</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</si>
  <si>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The whole investment was tested for impairment under IAS 36 and written down.</t>
  </si>
  <si>
    <t xml:space="preserve">Consolidation procedures and IFRS references</t>
  </si>
  <si>
    <t xml:space="preserve">Step</t>
  </si>
  <si>
    <t xml:space="preserve">IFRS reference</t>
  </si>
  <si>
    <t xml:space="preserve">What the workbook does</t>
  </si>
  <si>
    <t xml:space="preserve">1. Control (subsidiaries)</t>
  </si>
  <si>
    <t xml:space="preserve">IFRS 10.6-7, B35</t>
  </si>
  <si>
    <t xml:space="preserve">An investor controls an investee when it has power over it, is exposed to variable returns from it and can use its power to affect those returns. Subsidiaries One and Two are controlled directly through a majority of the voting rights, Subsidiary Three through Subsidiary One and Subsidiary Four through Subsidiary Two. Each is consolidated from the date control was obtained.</t>
  </si>
  <si>
    <t xml:space="preserve">2. Significant influence (associates)</t>
  </si>
  <si>
    <t xml:space="preserve">IAS 28.3, 28.5-6</t>
  </si>
  <si>
    <t xml:space="preserve">Significant influence is the power to take part in financial and operating policy decisions without control. A holding of 20% or more of the voting power is presumed to give it, and board representation is typical evidence. Both associates are held at 25% to 30%.</t>
  </si>
  <si>
    <t xml:space="preserve">3. Uniform policies and reporting date</t>
  </si>
  <si>
    <t xml:space="preserve">IFRS 10.B87, B92-B93; IAS 28.33-36</t>
  </si>
  <si>
    <t xml:space="preserve">All entities use the group's IFRS accounting policies and a 31 December year end, so no alignment adjustments are needed. Entities in countries that do not use IFRS locally (such as the US) report to the group on IFRS policies. A different year end would need adjusting for significant transactions and may differ by no more than three months.</t>
  </si>
  <si>
    <t xml:space="preserve">4. Foreign currency translation</t>
  </si>
  <si>
    <t xml:space="preserve">IAS 21.39-41, 21.44, 21.47; IAS 28.10</t>
  </si>
  <si>
    <t xml:space="preserve">Subsidiary Two (EUR) is translated into USD: assets and liabilities at the closing rate, income and expenses at the average rate (an approximation of transaction-date rates) and share capital at the historical rate. The difference goes to the translation reserve in other comprehensive income, and the NCI's share is allocated to NCI. Subsidiary Three (GBP) is translated the same way, and its goodwill is treated as its own asset: held in GBP and retranslated at the closing rate, with the difference in the translation reserve. Associate One reports in AED, which is pegged to the USD, so no exchange difference arises; for a floating currency it would also go to the translation reserve.</t>
  </si>
  <si>
    <t xml:space="preserve">5. Combine line by line (subsidiaries only)</t>
  </si>
  <si>
    <t xml:space="preserve">IFRS 10.B86(a)</t>
  </si>
  <si>
    <t xml:space="preserve">The assets, liabilities, income and expenses of the parent and its subsidiaries are added together in full, even where the group owns less than 100%.</t>
  </si>
  <si>
    <t xml:space="preserve">6. Eliminate the investment; goodwill</t>
  </si>
  <si>
    <t xml:space="preserve">IFRS 10.B86(b); IFRS 3.32; IAS 36.90</t>
  </si>
  <si>
    <t xml:space="preserve">The parent's investment in each subsidiary is offset against its share of the subsidiary's equity at acquisition. Any excess is goodwill, which is not amortised but tested for impairment at least every year.</t>
  </si>
  <si>
    <t xml:space="preserve">7. Non-controlling interests</t>
  </si>
  <si>
    <t xml:space="preserve">IFRS 3.19; IFRS 10.22, B94</t>
  </si>
  <si>
    <t xml:space="preserve">NCI is measured at its proportionate share of the subsidiary's identifiable net assets (the IFRS 3 choice made here, so no goodwill is attributed to NCI). It is shown in equity, separately from the parent's equity, and receives its share of profit and of translation differences.</t>
  </si>
  <si>
    <t xml:space="preserve">8. Indirect holdings (sub-subsidiaries)</t>
  </si>
  <si>
    <t xml:space="preserve">IFRS 10.B86, Appendix A; IFRS 3.19, 3.32</t>
  </si>
  <si>
    <t xml:space="preserve">Control passes down the chain, so a subsidiary of a subsidiary is the parent's subsidiary and is consolidated in full. Goodwill and NCI use the group's effective interest: Subsidiary Three 100% x 70% = 70%, Subsidiary Four 80% x 75% = 60%. NCI in Subsidiary Four is 40%: the 25% direct minority plus the Subsidiary Two minority's 20% x 75% indirect share, less that minority's 20% share of Subsidiary Two's cost of investment.</t>
  </si>
  <si>
    <t xml:space="preserve">9. Foreign holding company</t>
  </si>
  <si>
    <t xml:space="preserve">IAS 21.39, 21.47; IFRS 10.B86(b)</t>
  </si>
  <si>
    <t xml:space="preserve">Subsidiary Two holds Subsidiary Four in euros. Its investment is in its translated trial balance at the closing rate, so that amount is eliminated. Goodwill is measured with the cost at the historical rate, and the translation difference on the investment is reversed: the group's share from the translation reserve and the Subsidiary Two minority's share from NCI.</t>
  </si>
  <si>
    <t xml:space="preserve">10. Intragroup transactions</t>
  </si>
  <si>
    <t xml:space="preserve">IFRS 10.B86(c)</t>
  </si>
  <si>
    <t xml:space="preserve">Intragroup balances, sales, purchases and unrealised profit in closing inventory are eliminated in full. The unrealised profit is charged to the selling entity; the seller is 100% owned, so NCI is not affected.</t>
  </si>
  <si>
    <t xml:space="preserve">11. Equity method (associates)</t>
  </si>
  <si>
    <t xml:space="preserve">IAS 28.10, 28.16</t>
  </si>
  <si>
    <t xml:space="preserve">An associate is not combined line by line. The investment is recognised at cost and then increased or decreased by the group's share of the associate's profit or loss after acquisition. Dividends received reduce the carrying amount instead of being income, so the parent's dividend income is reversed.</t>
  </si>
  <si>
    <t xml:space="preserve">12. Goodwill on associates</t>
  </si>
  <si>
    <t xml:space="preserve">IAS 28.32, 28.42</t>
  </si>
  <si>
    <t xml:space="preserve">The excess of cost over the group's share of the associate's net assets is included in the carrying amount of the investment. It is not shown separately, not amortised and not tested for impairment on its own.</t>
  </si>
  <si>
    <t xml:space="preserve">13. Transactions with associates</t>
  </si>
  <si>
    <t xml:space="preserve">IAS 28.28-29</t>
  </si>
  <si>
    <t xml:space="preserve">Only the group's share of unrealised profit on sales between the group and an associate is eliminated. For a sale to the associate (downstream) it reduces the investment; for a purchase from the associate (upstream) it reduces group inventory. Balances with associates are not eliminated, because associates are outside the group.</t>
  </si>
  <si>
    <t xml:space="preserve">14. Impairment of associates</t>
  </si>
  <si>
    <t xml:space="preserve">IAS 28.40-43; IAS 36</t>
  </si>
  <si>
    <t xml:space="preserve">After applying the equity method, the group checks for objective evidence of impairment. If there is, the whole carrying amount is tested as a single asset under IAS 36 and any loss reduces the investment. Associate Two carries an impairment loss.</t>
  </si>
  <si>
    <t xml:space="preserve">15. Losses of associates</t>
  </si>
  <si>
    <t xml:space="preserve">IAS 28.38-39</t>
  </si>
  <si>
    <t xml:space="preserve">If the group's share of losses equals or exceeds its interest, it stops recognising further losses unless it has an obligation to fund them. Not triggered here.</t>
  </si>
  <si>
    <t xml:space="preserve">16. Presentation</t>
  </si>
  <si>
    <t xml:space="preserve">IAS 1.54(e), 1.82(c), 1.81B; IFRS 10.22</t>
  </si>
  <si>
    <t xml:space="preserve">Investments in associates and the share of their profit are separate line items. Profit and equity are split between owners of the parent and NCI.</t>
  </si>
  <si>
    <t xml:space="preserve">17. Disclosure</t>
  </si>
  <si>
    <t xml:space="preserve">IFRS 12.21, B12-B14</t>
  </si>
  <si>
    <t xml:space="preserve">Summarised financial information for each material associate and a reconciliation to its carrying amount (shown on the Associates sheet).</t>
  </si>
  <si>
    <t xml:space="preserve">18. IFRS 18 (from 2027)</t>
  </si>
  <si>
    <t xml:space="preserve">IFRS 18</t>
  </si>
  <si>
    <t xml:space="preserve">IFRS 18 replaces IAS 1 for periods beginning on or after 1 January 2027. The share of profit of associates will then sit in the investing category, outside operating profit, as it already does in this income statement. These 2025 statements follow IAS 1.</t>
  </si>
  <si>
    <t xml:space="preserve">Paragraph references are to the IFRS Accounting Standards as issued by the IASB.</t>
  </si>
  <si>
    <t xml:space="preserve">Consolidation worksheet (debit +, credit -)</t>
  </si>
  <si>
    <t xml:space="preserve">Code</t>
  </si>
  <si>
    <t xml:space="preserve">Account</t>
  </si>
  <si>
    <t xml:space="preserve">PARENT (USD)</t>
  </si>
  <si>
    <t xml:space="preserve">SUB1 (USD)</t>
  </si>
  <si>
    <t xml:space="preserve">SUB2 (USD)</t>
  </si>
  <si>
    <t xml:space="preserve">SUB3 (USD)</t>
  </si>
  <si>
    <t xml:space="preserve">SUB4 (USD)</t>
  </si>
  <si>
    <t xml:space="preserve">Aggregate</t>
  </si>
  <si>
    <t xml:space="preserve">Eliminations</t>
  </si>
  <si>
    <t xml:space="preserve">Consolidated</t>
  </si>
  <si>
    <t xml:space="preserve">Intercompany receivable</t>
  </si>
  <si>
    <t xml:space="preserve">Investment in subsidiaries</t>
  </si>
  <si>
    <t xml:space="preserve">Investment in associates</t>
  </si>
  <si>
    <t xml:space="preserve">Intercompany payable</t>
  </si>
  <si>
    <t xml:space="preserve">Retained earnings (opening)</t>
  </si>
  <si>
    <t xml:space="preserve">Intercompany revenue</t>
  </si>
  <si>
    <t xml:space="preserve">Dividend income from associates</t>
  </si>
  <si>
    <t xml:space="preserve">Share of profit of associates</t>
  </si>
  <si>
    <t xml:space="preserve">Intercompany purchases</t>
  </si>
  <si>
    <t xml:space="preserve">Check (should be zero)</t>
  </si>
  <si>
    <t xml:space="preserve">Consolidation adjustments (debit +, credit -)</t>
  </si>
  <si>
    <t xml:space="preserve">#</t>
  </si>
  <si>
    <t xml:space="preserve">Description</t>
  </si>
  <si>
    <t xml:space="preserve">Amount</t>
  </si>
  <si>
    <t xml:space="preserve">Investment in Subsidiary One (US)</t>
  </si>
  <si>
    <t xml:space="preserve">Investment in Subsidiary Two (Germany)</t>
  </si>
  <si>
    <t xml:space="preserve">NCI share of Subsidiary Two (Germany) post-acquisition reserves</t>
  </si>
  <si>
    <t xml:space="preserve">Investment in Subsidiary Three (UK)</t>
  </si>
  <si>
    <t xml:space="preserve">NCI share of Subsidiary Three (UK) post-acquisition reserves</t>
  </si>
  <si>
    <t xml:space="preserve">Investment in Subsidiary Four (France)</t>
  </si>
  <si>
    <t xml:space="preserve">NCI share of Subsidiary Four (France) post-acquisition reserves</t>
  </si>
  <si>
    <t xml:space="preserve">Intercompany balance: Parent owes Sub One for goods bought</t>
  </si>
  <si>
    <t xml:space="preserve">Intercompany balance: Loan from Parent to Sub Two (EUR 500)</t>
  </si>
  <si>
    <t xml:space="preserve">Intercompany sale: Goods sold by Sub One to Parent</t>
  </si>
  <si>
    <t xml:space="preserve">Unrealised profit in inventory: Parent still holds 200 of goods from Sub One; Sub One margin 25%</t>
  </si>
  <si>
    <t xml:space="preserve">Associate One (UAE): share of post-acquisition reserves at 1 January</t>
  </si>
  <si>
    <t xml:space="preserve">Associate One (UAE): share of profit for the year</t>
  </si>
  <si>
    <t xml:space="preserve">Associate One (UAE): dividends received reduce the investment</t>
  </si>
  <si>
    <t xml:space="preserve">Associate One (UAE): share of unrealised profit on sales to the associate</t>
  </si>
  <si>
    <t xml:space="preserve">Associate Two (US): share of post-acquisition reserves at 1 January</t>
  </si>
  <si>
    <t xml:space="preserve">Associate Two (US): share of profit for the year</t>
  </si>
  <si>
    <t xml:space="preserve">Associate Two (US): dividends received reduce the investment</t>
  </si>
  <si>
    <t xml:space="preserve">Associate Two (US): impairment of the investment</t>
  </si>
  <si>
    <t xml:space="preserve">Total (should be zero)</t>
  </si>
  <si>
    <t xml:space="preserve">Associates: equity method (IAS 28)</t>
  </si>
  <si>
    <t xml:space="preserve">ASSOC1</t>
  </si>
  <si>
    <t xml:space="preserve">ASSOC2</t>
  </si>
  <si>
    <t xml:space="preserve">Total</t>
  </si>
  <si>
    <t xml:space="preserve">Name</t>
  </si>
  <si>
    <t xml:space="preserve">Currency</t>
  </si>
  <si>
    <t xml:space="preserve">AED</t>
  </si>
  <si>
    <t xml:space="preserve">USD</t>
  </si>
  <si>
    <t xml:space="preserve">Cost of investment (USD)</t>
  </si>
  <si>
    <t xml:space="preserve">Net assets at acquisition (local currency)</t>
  </si>
  <si>
    <t xml:space="preserve">Retained earnings at acquisition (local currency)</t>
  </si>
  <si>
    <t xml:space="preserve">Retained earnings at 1 January 2025 (local currency)</t>
  </si>
  <si>
    <t xml:space="preserve">Profit for the year (local currency)</t>
  </si>
  <si>
    <t xml:space="preserve">Dividends paid by the associate (local currency)</t>
  </si>
  <si>
    <t xml:space="preserve">Impairment loss from IAS 36 test (USD)</t>
  </si>
  <si>
    <t xml:space="preserve">Historical rate</t>
  </si>
  <si>
    <t xml:space="preserve">Average rate</t>
  </si>
  <si>
    <t xml:space="preserve">Closing rate</t>
  </si>
  <si>
    <t xml:space="preserve">Equity method (USD)</t>
  </si>
  <si>
    <t xml:space="preserve">Group share of net assets at acquisition</t>
  </si>
  <si>
    <t xml:space="preserve">Goodwill included in the investment (cost less share of net assets)</t>
  </si>
  <si>
    <t xml:space="preserve">Cost of investment</t>
  </si>
  <si>
    <t xml:space="preserve">Share of post-acquisition retained earnings to 1 January</t>
  </si>
  <si>
    <t xml:space="preserve">Carrying amount at 1 January 2025</t>
  </si>
  <si>
    <t xml:space="preserve">Share of profit for the year</t>
  </si>
  <si>
    <t xml:space="preserve">Dividends received (reduce the investment)</t>
  </si>
  <si>
    <t xml:space="preserve">Impairment loss</t>
  </si>
  <si>
    <t xml:space="preserve">Group share of unrealised profit on sales to the associate (downstream)</t>
  </si>
  <si>
    <t xml:space="preserve">Carrying amount at 31 December 2025</t>
  </si>
  <si>
    <t xml:space="preserve">Reconciliation to the associate's net assets (IFRS 12)</t>
  </si>
  <si>
    <t xml:space="preserve">Associate's net assets at 31 December (local currency)</t>
  </si>
  <si>
    <t xml:space="preserve">Group share at closing rate</t>
  </si>
  <si>
    <t xml:space="preserve">Unrealised profit (downstream)</t>
  </si>
  <si>
    <t xml:space="preserve">Exchange difference (zero for USD and the pegged AED)</t>
  </si>
  <si>
    <t xml:space="preserve">Memo: share of upstream unrealised profit (reduces group inventory)</t>
  </si>
  <si>
    <t xml:space="preserve">The group does not combine an associate line by line. It carries one investment line, measured at cost plus its share of post-acquisition profits, less dividends, impairment and its share of unrealised profit. Balances with associates are not eliminated, because associates are outside the group.</t>
  </si>
  <si>
    <t xml:space="preserve">Translation into USD</t>
  </si>
  <si>
    <t xml:space="preserve">PARENT local</t>
  </si>
  <si>
    <t xml:space="preserve">PARENT rate</t>
  </si>
  <si>
    <t xml:space="preserve">PARENT USD</t>
  </si>
  <si>
    <t xml:space="preserve">SUB1 local</t>
  </si>
  <si>
    <t xml:space="preserve">SUB1 rate</t>
  </si>
  <si>
    <t xml:space="preserve">SUB1 USD</t>
  </si>
  <si>
    <t xml:space="preserve">SUB2 local</t>
  </si>
  <si>
    <t xml:space="preserve">SUB2 rate</t>
  </si>
  <si>
    <t xml:space="preserve">SUB2 USD</t>
  </si>
  <si>
    <t xml:space="preserve">SUB3 local</t>
  </si>
  <si>
    <t xml:space="preserve">SUB3 rate</t>
  </si>
  <si>
    <t xml:space="preserve">SUB3 USD</t>
  </si>
  <si>
    <t xml:space="preserve">SUB4 local</t>
  </si>
  <si>
    <t xml:space="preserve">SUB4 rate</t>
  </si>
  <si>
    <t xml:space="preserve">SUB4 USD</t>
  </si>
  <si>
    <t xml:space="preserve">Assets and liabilities at closing rate, income and expenses at average rate, share capital at historical rate, opening retained earnings at the USD amount carried forward. The translation reserve balances the translated trial balance.</t>
  </si>
  <si>
    <t xml:space="preserve">Entity trial balances in local currency (debit +, credit -)</t>
  </si>
  <si>
    <t xml:space="preserve">thousands of local currency</t>
  </si>
  <si>
    <t xml:space="preserve">Type</t>
  </si>
  <si>
    <t xml:space="preserve">SUB2 (EUR)</t>
  </si>
  <si>
    <t xml:space="preserve">SUB3 (GBP)</t>
  </si>
  <si>
    <t xml:space="preserve">SUB4 (EUR)</t>
  </si>
  <si>
    <t xml:space="preserve">A</t>
  </si>
  <si>
    <t xml:space="preserve">L</t>
  </si>
  <si>
    <t xml:space="preserve">E</t>
  </si>
  <si>
    <t xml:space="preserve">I</t>
  </si>
  <si>
    <t xml:space="preserve">X</t>
  </si>
  <si>
    <t xml:space="preserve">Group structure, exchange rates and intercompany data</t>
  </si>
  <si>
    <t xml:space="preserve">Investment cost (holder's currency)</t>
  </si>
  <si>
    <t xml:space="preserve">Pre-acq. retained earnings (local)</t>
  </si>
  <si>
    <t xml:space="preserve">Opening RE (USD)</t>
  </si>
  <si>
    <t xml:space="preserve">Held by</t>
  </si>
  <si>
    <t xml:space="preserve">Group effective interest</t>
  </si>
  <si>
    <t xml:space="preserve">PARENT</t>
  </si>
  <si>
    <t xml:space="preserve">SUB1</t>
  </si>
  <si>
    <t xml:space="preserve">SUB2</t>
  </si>
  <si>
    <t xml:space="preserve">EUR</t>
  </si>
  <si>
    <t xml:space="preserve">SUB3</t>
  </si>
  <si>
    <t xml:space="preserve">GBP</t>
  </si>
  <si>
    <t xml:space="preserve">SUB4</t>
  </si>
  <si>
    <t xml:space="preserve">Closing</t>
  </si>
  <si>
    <t xml:space="preserve">Average</t>
  </si>
  <si>
    <t xml:space="preserve">Historical</t>
  </si>
  <si>
    <t xml:space="preserve">From</t>
  </si>
  <si>
    <t xml:space="preserve">To</t>
  </si>
  <si>
    <t xml:space="preserve">Amount (USD)</t>
  </si>
  <si>
    <t xml:space="preserve">balance</t>
  </si>
  <si>
    <t xml:space="preserve">Parent owes Sub One for goods bought</t>
  </si>
  <si>
    <t xml:space="preserve">Loan from Parent to Sub Two (EUR 500)</t>
  </si>
  <si>
    <t xml:space="preserve">sale</t>
  </si>
  <si>
    <t xml:space="preserve">Goods sold by Sub One to Parent</t>
  </si>
  <si>
    <t xml:space="preserve">unrealised_profit</t>
  </si>
  <si>
    <t xml:space="preserve">Parent still holds 200 of goods from Sub One; Sub One margin 25%</t>
  </si>
  <si>
    <t xml:space="preserve">associate_unrealised_profit</t>
  </si>
  <si>
    <t xml:space="preserve">Parent sold goods to Associate One at a 25% margin; 160 still held (group share eliminated)</t>
  </si>
  <si>
    <t xml:space="preserve">Checks (all should be zero)</t>
  </si>
  <si>
    <t xml:space="preserve">Entity trial balances balance</t>
  </si>
  <si>
    <t xml:space="preserve">Elimination journal balances</t>
  </si>
  <si>
    <t xml:space="preserve">Consolidation worksheet balances</t>
  </si>
  <si>
    <t xml:space="preserve">Intercompany receivables and payables fully eliminated</t>
  </si>
  <si>
    <t xml:space="preserve">Intercompany sales and purchases fully eliminated</t>
  </si>
  <si>
    <t xml:space="preserve">Investment in subsidiaries fully eliminated</t>
  </si>
  <si>
    <t xml:space="preserve">Dividends from associates fully eliminated</t>
  </si>
  <si>
    <t xml:space="preserve">Investments in associates agree to the equity method schedule</t>
  </si>
  <si>
    <t xml:space="preserve">Associates reconcile to share of net assets</t>
  </si>
  <si>
    <t xml:space="preserve">Balance sheet balances</t>
  </si>
  <si>
    <t xml:space="preserve">All checks pass?</t>
  </si>
</sst>
</file>

<file path=xl/styles.xml><?xml version="1.0" encoding="utf-8"?>
<styleSheet xmlns="http://schemas.openxmlformats.org/spreadsheetml/2006/main">
  <numFmts count="4">
    <numFmt numFmtId="164" formatCode="General"/>
    <numFmt numFmtId="165" formatCode="#,##0;\(#,##0\);\-"/>
    <numFmt numFmtId="166" formatCode="0%"/>
    <numFmt numFmtId="167" formatCode="0.000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b val="true"/>
      <sz val="12"/>
      <color rgb="FF000000"/>
      <name val="Arial"/>
      <family val="0"/>
      <charset val="1"/>
    </font>
    <font>
      <i val="true"/>
      <sz val="10"/>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sz val="10"/>
      <color rgb="FF008000"/>
      <name val="Arial"/>
      <family val="0"/>
      <charset val="1"/>
    </font>
    <font>
      <sz val="10"/>
      <color rgb="FF1F4E78"/>
      <name val="Arial"/>
      <family val="0"/>
      <charset val="1"/>
    </font>
    <font>
      <sz val="10"/>
      <color rgb="FF0000FF"/>
      <name val="Arial"/>
      <family val="0"/>
      <charset val="1"/>
    </font>
  </fonts>
  <fills count="3">
    <fill>
      <patternFill patternType="none"/>
    </fill>
    <fill>
      <patternFill patternType="gray125"/>
    </fill>
    <fill>
      <patternFill patternType="solid">
        <fgColor rgb="FF1F4E78"/>
        <bgColor rgb="FF003366"/>
      </patternFill>
    </fill>
  </fills>
  <borders count="3">
    <border diagonalUp="false" diagonalDown="false">
      <left/>
      <right/>
      <top/>
      <bottom/>
      <diagonal/>
    </border>
    <border diagonalUp="false" diagonalDown="false">
      <left/>
      <right/>
      <top style="thin"/>
      <bottom/>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right" vertical="top" textRotation="0" wrapText="false" indent="0" shrinkToFit="false"/>
      <protection locked="true" hidden="false"/>
    </xf>
    <xf numFmtId="166" fontId="10" fillId="0" borderId="0" xfId="0" applyFont="true" applyBorder="false" applyAlignment="true" applyProtection="false">
      <alignment horizontal="right" vertical="top" textRotation="0" wrapText="false" indent="0" shrinkToFit="false"/>
      <protection locked="true" hidden="false"/>
    </xf>
    <xf numFmtId="164" fontId="7" fillId="2"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right" vertical="bottom" textRotation="0" wrapText="tru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6" fontId="12" fillId="0" borderId="0" xfId="0" applyFont="true" applyBorder="false" applyAlignment="true" applyProtection="false">
      <alignment horizontal="right" vertical="bottom" textRotation="0" wrapText="fals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5" fontId="9" fillId="0" borderId="2"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4</v>
      </c>
      <c r="C6" s="6" t="n">
        <f aca="false">-(Consolidation!K21+Consolidation!K22)</f>
        <v>25480</v>
      </c>
    </row>
    <row r="7" customFormat="false" ht="15" hidden="false" customHeight="false" outlineLevel="0" collapsed="false">
      <c r="B7" s="5" t="s">
        <v>5</v>
      </c>
      <c r="C7" s="6" t="n">
        <f aca="false">-(Consolidation!K25+Consolidation!K26)</f>
        <v>-15168.4</v>
      </c>
    </row>
    <row r="8" customFormat="false" ht="15" hidden="false" customHeight="false" outlineLevel="0" collapsed="false">
      <c r="B8" s="7" t="s">
        <v>6</v>
      </c>
      <c r="C8" s="8" t="n">
        <f aca="false">C6+C7</f>
        <v>10311.6</v>
      </c>
    </row>
    <row r="9" customFormat="false" ht="15" hidden="false" customHeight="false" outlineLevel="0" collapsed="false">
      <c r="B9" s="5" t="s">
        <v>7</v>
      </c>
      <c r="C9" s="6" t="n">
        <f aca="false">-Consolidation!K27</f>
        <v>-5556.7</v>
      </c>
    </row>
    <row r="10" customFormat="false" ht="15" hidden="false" customHeight="false" outlineLevel="0" collapsed="false">
      <c r="B10" s="7" t="s">
        <v>8</v>
      </c>
      <c r="C10" s="8" t="n">
        <f aca="false">C8+C9</f>
        <v>4754.9</v>
      </c>
    </row>
    <row r="11" customFormat="false" ht="15" hidden="false" customHeight="false" outlineLevel="0" collapsed="false">
      <c r="B11" s="5" t="s">
        <v>9</v>
      </c>
      <c r="C11" s="6" t="n">
        <f aca="false">-Consolidation!K24</f>
        <v>259.718</v>
      </c>
    </row>
    <row r="12" customFormat="false" ht="15" hidden="false" customHeight="false" outlineLevel="0" collapsed="false">
      <c r="B12" s="5" t="s">
        <v>10</v>
      </c>
      <c r="C12" s="6" t="n">
        <f aca="false">-Consolidation!K23</f>
        <v>-0</v>
      </c>
    </row>
    <row r="13" customFormat="false" ht="15" hidden="false" customHeight="false" outlineLevel="0" collapsed="false">
      <c r="B13" s="5" t="s">
        <v>11</v>
      </c>
      <c r="C13" s="6" t="n">
        <f aca="false">-Consolidation!K28</f>
        <v>-409.2</v>
      </c>
    </row>
    <row r="14" customFormat="false" ht="15" hidden="false" customHeight="false" outlineLevel="0" collapsed="false">
      <c r="B14" s="7" t="s">
        <v>12</v>
      </c>
      <c r="C14" s="8" t="n">
        <f aca="false">SUM(C10:C13)</f>
        <v>4605.418</v>
      </c>
    </row>
    <row r="15" customFormat="false" ht="15" hidden="false" customHeight="false" outlineLevel="0" collapsed="false">
      <c r="B15" s="5" t="s">
        <v>13</v>
      </c>
      <c r="C15" s="6" t="n">
        <f aca="false">-Consolidation!K29</f>
        <v>-996.7</v>
      </c>
    </row>
    <row r="16" customFormat="false" ht="15" hidden="false" customHeight="false" outlineLevel="0" collapsed="false">
      <c r="B16" s="7" t="s">
        <v>14</v>
      </c>
      <c r="C16" s="9" t="n">
        <f aca="false">C14+C15</f>
        <v>3608.718</v>
      </c>
    </row>
    <row r="18" customFormat="false" ht="15" hidden="false" customHeight="false" outlineLevel="0" collapsed="false">
      <c r="B18" s="5" t="s">
        <v>15</v>
      </c>
      <c r="C18" s="6" t="n">
        <f aca="false">C16-C19</f>
        <v>3368.938</v>
      </c>
    </row>
    <row r="19" customFormat="false" ht="15" hidden="false" customHeight="false" outlineLevel="0" collapsed="false">
      <c r="B19" s="5" t="s">
        <v>16</v>
      </c>
      <c r="C19" s="6" t="n">
        <f aca="false">(1-Inputs!$J$7)*-SUM(Translation!I18:I25)+(1-Inputs!$J$8)*-SUM(Translation!L18:L25)+(1-Inputs!$J$9)*-SUM(Translation!O18:O25)+(1-Inputs!$J$10)*-SUM(Translation!R18:R25)</f>
        <v>239.78</v>
      </c>
    </row>
    <row r="21" customFormat="false" ht="15" hidden="false" customHeight="false" outlineLevel="0" collapsed="false">
      <c r="B21" s="3" t="s">
        <v>17</v>
      </c>
    </row>
    <row r="22" customFormat="false" ht="15" hidden="false" customHeight="false" outlineLevel="0" collapsed="false">
      <c r="B22" s="3" t="s">
        <v>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19</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20</v>
      </c>
      <c r="C6" s="6" t="n">
        <f aca="false">Consolidation!K13</f>
        <v>641</v>
      </c>
    </row>
    <row r="7" customFormat="false" ht="15" hidden="false" customHeight="false" outlineLevel="0" collapsed="false">
      <c r="B7" s="5" t="s">
        <v>21</v>
      </c>
      <c r="C7" s="6" t="n">
        <f aca="false">Consolidation!K10</f>
        <v>12343</v>
      </c>
    </row>
    <row r="8" customFormat="false" ht="15" hidden="false" customHeight="false" outlineLevel="0" collapsed="false">
      <c r="B8" s="5" t="s">
        <v>22</v>
      </c>
      <c r="C8" s="6" t="n">
        <f aca="false">Consolidation!K12</f>
        <v>1838.563</v>
      </c>
    </row>
    <row r="9" customFormat="false" ht="15" hidden="false" customHeight="false" outlineLevel="0" collapsed="false">
      <c r="B9" s="7" t="s">
        <v>23</v>
      </c>
      <c r="C9" s="8" t="n">
        <f aca="false">SUM(C6:C8)</f>
        <v>14822.563</v>
      </c>
    </row>
    <row r="10" customFormat="false" ht="15" hidden="false" customHeight="false" outlineLevel="0" collapsed="false">
      <c r="B10" s="5" t="s">
        <v>24</v>
      </c>
      <c r="C10" s="6" t="n">
        <f aca="false">Consolidation!K9</f>
        <v>3080.6</v>
      </c>
    </row>
    <row r="11" customFormat="false" ht="15" hidden="false" customHeight="false" outlineLevel="0" collapsed="false">
      <c r="B11" s="5" t="s">
        <v>25</v>
      </c>
      <c r="C11" s="6" t="n">
        <f aca="false">Consolidation!K7</f>
        <v>4289.5</v>
      </c>
    </row>
    <row r="12" customFormat="false" ht="15" hidden="false" customHeight="false" outlineLevel="0" collapsed="false">
      <c r="B12" s="5" t="s">
        <v>26</v>
      </c>
      <c r="C12" s="6" t="n">
        <f aca="false">Consolidation!K8</f>
        <v>0</v>
      </c>
    </row>
    <row r="13" customFormat="false" ht="15" hidden="false" customHeight="false" outlineLevel="0" collapsed="false">
      <c r="B13" s="5" t="s">
        <v>27</v>
      </c>
      <c r="C13" s="6" t="n">
        <f aca="false">Consolidation!K6</f>
        <v>2696.49</v>
      </c>
    </row>
    <row r="14" customFormat="false" ht="15" hidden="false" customHeight="false" outlineLevel="0" collapsed="false">
      <c r="B14" s="7" t="s">
        <v>28</v>
      </c>
      <c r="C14" s="8" t="n">
        <f aca="false">SUM(C10:C13)</f>
        <v>10066.59</v>
      </c>
    </row>
    <row r="15" customFormat="false" ht="15" hidden="false" customHeight="false" outlineLevel="0" collapsed="false">
      <c r="B15" s="7" t="s">
        <v>29</v>
      </c>
      <c r="C15" s="9" t="n">
        <f aca="false">C9+C14</f>
        <v>24889.153</v>
      </c>
    </row>
    <row r="17" customFormat="false" ht="15" hidden="false" customHeight="false" outlineLevel="0" collapsed="false">
      <c r="B17" s="5" t="s">
        <v>30</v>
      </c>
      <c r="C17" s="6" t="n">
        <f aca="false">-Consolidation!K17</f>
        <v>5000</v>
      </c>
    </row>
    <row r="18" customFormat="false" ht="15" hidden="false" customHeight="false" outlineLevel="0" collapsed="false">
      <c r="B18" s="5" t="s">
        <v>31</v>
      </c>
      <c r="C18" s="6" t="n">
        <f aca="false">-Consolidation!K18+'Consolidated IS'!C18</f>
        <v>7274.473</v>
      </c>
    </row>
    <row r="19" customFormat="false" ht="15" hidden="false" customHeight="false" outlineLevel="0" collapsed="false">
      <c r="B19" s="5" t="s">
        <v>32</v>
      </c>
      <c r="C19" s="6" t="n">
        <f aca="false">-Consolidation!K19</f>
        <v>-16.77</v>
      </c>
    </row>
    <row r="20" customFormat="false" ht="15" hidden="false" customHeight="false" outlineLevel="0" collapsed="false">
      <c r="B20" s="7" t="s">
        <v>33</v>
      </c>
      <c r="C20" s="8" t="n">
        <f aca="false">SUM(C17:C19)</f>
        <v>12257.703</v>
      </c>
    </row>
    <row r="21" customFormat="false" ht="15" hidden="false" customHeight="false" outlineLevel="0" collapsed="false">
      <c r="B21" s="5" t="s">
        <v>34</v>
      </c>
      <c r="C21" s="6" t="n">
        <f aca="false">-Consolidation!K20+'Consolidated IS'!C19</f>
        <v>1019.85</v>
      </c>
    </row>
    <row r="22" customFormat="false" ht="15" hidden="false" customHeight="false" outlineLevel="0" collapsed="false">
      <c r="B22" s="7" t="s">
        <v>35</v>
      </c>
      <c r="C22" s="8" t="n">
        <f aca="false">C20+C21</f>
        <v>13277.553</v>
      </c>
    </row>
    <row r="23" customFormat="false" ht="15" hidden="false" customHeight="false" outlineLevel="0" collapsed="false">
      <c r="B23" s="5" t="s">
        <v>36</v>
      </c>
      <c r="C23" s="6" t="n">
        <f aca="false">-Consolidation!K16</f>
        <v>8385</v>
      </c>
    </row>
    <row r="24" customFormat="false" ht="15" hidden="false" customHeight="false" outlineLevel="0" collapsed="false">
      <c r="B24" s="5" t="s">
        <v>37</v>
      </c>
      <c r="C24" s="6" t="n">
        <f aca="false">-Consolidation!K14</f>
        <v>3226.6</v>
      </c>
    </row>
    <row r="25" customFormat="false" ht="15" hidden="false" customHeight="false" outlineLevel="0" collapsed="false">
      <c r="B25" s="5" t="s">
        <v>38</v>
      </c>
      <c r="C25" s="6" t="n">
        <f aca="false">-Consolidation!K15</f>
        <v>-0</v>
      </c>
    </row>
    <row r="26" customFormat="false" ht="15" hidden="false" customHeight="false" outlineLevel="0" collapsed="false">
      <c r="B26" s="7" t="s">
        <v>39</v>
      </c>
      <c r="C26" s="8" t="n">
        <f aca="false">SUM(C23:C25)</f>
        <v>11611.6</v>
      </c>
    </row>
    <row r="27" customFormat="false" ht="15" hidden="false" customHeight="false" outlineLevel="0" collapsed="false">
      <c r="B27" s="7" t="s">
        <v>40</v>
      </c>
      <c r="C27" s="9" t="n">
        <f aca="false">C22+C26</f>
        <v>24889.153</v>
      </c>
    </row>
    <row r="29" customFormat="false" ht="15" hidden="false" customHeight="false" outlineLevel="0" collapsed="false">
      <c r="B29" s="5" t="s">
        <v>41</v>
      </c>
      <c r="C29" s="6" t="n">
        <f aca="false">ROUND(C15-C27,2)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22"/>
    <col collapsed="false" customWidth="true" hidden="false" outlineLevel="0" max="6" min="6" style="0" width="24"/>
    <col collapsed="false" customWidth="true" hidden="false" outlineLevel="0" max="7" min="7" style="0" width="80"/>
  </cols>
  <sheetData>
    <row r="1" customFormat="false" ht="17.35" hidden="false" customHeight="false" outlineLevel="0" collapsed="false">
      <c r="B1" s="1" t="s">
        <v>0</v>
      </c>
    </row>
    <row r="2" customFormat="false" ht="15" hidden="false" customHeight="false" outlineLevel="0" collapsed="false">
      <c r="B2" s="2" t="s">
        <v>42</v>
      </c>
    </row>
    <row r="3" customFormat="false" ht="15" hidden="false" customHeight="false" outlineLevel="0" collapsed="false">
      <c r="B3" s="3" t="s">
        <v>43</v>
      </c>
    </row>
    <row r="5" customFormat="false" ht="15" hidden="false" customHeight="false" outlineLevel="0" collapsed="false">
      <c r="B5" s="10" t="s">
        <v>44</v>
      </c>
      <c r="C5" s="10" t="s">
        <v>45</v>
      </c>
      <c r="D5" s="11" t="s">
        <v>46</v>
      </c>
      <c r="E5" s="10" t="s">
        <v>47</v>
      </c>
      <c r="F5" s="10" t="s">
        <v>48</v>
      </c>
      <c r="G5" s="10" t="s">
        <v>49</v>
      </c>
    </row>
    <row r="6" customFormat="false" ht="55.5" hidden="false" customHeight="true" outlineLevel="0" collapsed="false">
      <c r="B6" s="12" t="s">
        <v>50</v>
      </c>
      <c r="C6" s="13" t="s">
        <v>51</v>
      </c>
      <c r="D6" s="14"/>
      <c r="E6" s="13" t="s">
        <v>52</v>
      </c>
      <c r="F6" s="13" t="s">
        <v>53</v>
      </c>
      <c r="G6" s="13" t="s">
        <v>54</v>
      </c>
    </row>
    <row r="7" customFormat="false" ht="30" hidden="false" customHeight="true" outlineLevel="0" collapsed="false">
      <c r="B7" s="12" t="s">
        <v>55</v>
      </c>
      <c r="C7" s="13" t="s">
        <v>56</v>
      </c>
      <c r="D7" s="15" t="n">
        <f aca="false">Inputs!$E$7</f>
        <v>1</v>
      </c>
      <c r="E7" s="13" t="s">
        <v>57</v>
      </c>
      <c r="F7" s="13" t="s">
        <v>58</v>
      </c>
      <c r="G7" s="13" t="s">
        <v>59</v>
      </c>
    </row>
    <row r="8" customFormat="false" ht="69" hidden="false" customHeight="true" outlineLevel="0" collapsed="false">
      <c r="B8" s="12" t="s">
        <v>60</v>
      </c>
      <c r="C8" s="13" t="s">
        <v>61</v>
      </c>
      <c r="D8" s="15" t="n">
        <f aca="false">Inputs!$E$8</f>
        <v>0.8</v>
      </c>
      <c r="E8" s="13" t="s">
        <v>62</v>
      </c>
      <c r="F8" s="13" t="s">
        <v>63</v>
      </c>
      <c r="G8" s="13" t="s">
        <v>64</v>
      </c>
    </row>
    <row r="9" customFormat="false" ht="81.75" hidden="false" customHeight="true" outlineLevel="0" collapsed="false">
      <c r="B9" s="12" t="s">
        <v>65</v>
      </c>
      <c r="C9" s="13" t="s">
        <v>66</v>
      </c>
      <c r="D9" s="15" t="n">
        <f aca="false">Inputs!$E$9</f>
        <v>0.7</v>
      </c>
      <c r="E9" s="13" t="s">
        <v>62</v>
      </c>
      <c r="F9" s="13" t="s">
        <v>63</v>
      </c>
      <c r="G9" s="13" t="s">
        <v>67</v>
      </c>
    </row>
    <row r="10" customFormat="false" ht="94.5" hidden="false" customHeight="true" outlineLevel="0" collapsed="false">
      <c r="B10" s="12" t="s">
        <v>68</v>
      </c>
      <c r="C10" s="13" t="s">
        <v>69</v>
      </c>
      <c r="D10" s="15" t="n">
        <f aca="false">Inputs!$E$10</f>
        <v>0.75</v>
      </c>
      <c r="E10" s="13" t="s">
        <v>62</v>
      </c>
      <c r="F10" s="13" t="s">
        <v>63</v>
      </c>
      <c r="G10" s="13" t="s">
        <v>70</v>
      </c>
    </row>
    <row r="11" customFormat="false" ht="69" hidden="false" customHeight="true" outlineLevel="0" collapsed="false">
      <c r="B11" s="12" t="s">
        <v>71</v>
      </c>
      <c r="C11" s="13" t="s">
        <v>72</v>
      </c>
      <c r="D11" s="15" t="n">
        <f aca="false">Associates!D8</f>
        <v>0.3</v>
      </c>
      <c r="E11" s="13" t="s">
        <v>73</v>
      </c>
      <c r="F11" s="13" t="s">
        <v>74</v>
      </c>
      <c r="G11" s="13" t="s">
        <v>75</v>
      </c>
    </row>
    <row r="12" customFormat="false" ht="69" hidden="false" customHeight="true" outlineLevel="0" collapsed="false">
      <c r="B12" s="12" t="s">
        <v>76</v>
      </c>
      <c r="C12" s="13" t="s">
        <v>77</v>
      </c>
      <c r="D12" s="15" t="n">
        <f aca="false">Associates!E8</f>
        <v>0.25</v>
      </c>
      <c r="E12" s="13" t="s">
        <v>78</v>
      </c>
      <c r="F12" s="13" t="s">
        <v>74</v>
      </c>
      <c r="G12" s="13" t="s">
        <v>79</v>
      </c>
    </row>
    <row r="15" customFormat="false" ht="15" hidden="false" customHeight="false" outlineLevel="0" collapsed="false">
      <c r="B15" s="2" t="s">
        <v>80</v>
      </c>
    </row>
    <row r="16" customFormat="false" ht="15" hidden="false" customHeight="false" outlineLevel="0" collapsed="false">
      <c r="B16" s="10" t="s">
        <v>81</v>
      </c>
      <c r="C16" s="10" t="s">
        <v>82</v>
      </c>
      <c r="D16" s="16" t="s">
        <v>83</v>
      </c>
      <c r="E16" s="16"/>
      <c r="F16" s="16"/>
      <c r="G16" s="16"/>
    </row>
    <row r="17" customFormat="false" ht="55.5" hidden="false" customHeight="true" outlineLevel="0" collapsed="false">
      <c r="B17" s="12" t="s">
        <v>84</v>
      </c>
      <c r="C17" s="17" t="s">
        <v>85</v>
      </c>
      <c r="D17" s="18" t="s">
        <v>86</v>
      </c>
      <c r="E17" s="18"/>
      <c r="F17" s="18"/>
      <c r="G17" s="18"/>
    </row>
    <row r="18" customFormat="false" ht="42.75" hidden="false" customHeight="true" outlineLevel="0" collapsed="false">
      <c r="B18" s="12" t="s">
        <v>87</v>
      </c>
      <c r="C18" s="17" t="s">
        <v>88</v>
      </c>
      <c r="D18" s="18" t="s">
        <v>89</v>
      </c>
      <c r="E18" s="18"/>
      <c r="F18" s="18"/>
      <c r="G18" s="18"/>
    </row>
    <row r="19" customFormat="false" ht="42.75" hidden="false" customHeight="true" outlineLevel="0" collapsed="false">
      <c r="B19" s="12" t="s">
        <v>90</v>
      </c>
      <c r="C19" s="17" t="s">
        <v>91</v>
      </c>
      <c r="D19" s="18" t="s">
        <v>92</v>
      </c>
      <c r="E19" s="18"/>
      <c r="F19" s="18"/>
      <c r="G19" s="18"/>
    </row>
    <row r="20" customFormat="false" ht="81.75" hidden="false" customHeight="true" outlineLevel="0" collapsed="false">
      <c r="B20" s="12" t="s">
        <v>93</v>
      </c>
      <c r="C20" s="17" t="s">
        <v>94</v>
      </c>
      <c r="D20" s="18" t="s">
        <v>95</v>
      </c>
      <c r="E20" s="18"/>
      <c r="F20" s="18"/>
      <c r="G20" s="18"/>
    </row>
    <row r="21" customFormat="false" ht="30" hidden="false" customHeight="true" outlineLevel="0" collapsed="false">
      <c r="B21" s="12" t="s">
        <v>96</v>
      </c>
      <c r="C21" s="17" t="s">
        <v>97</v>
      </c>
      <c r="D21" s="18" t="s">
        <v>98</v>
      </c>
      <c r="E21" s="18"/>
      <c r="F21" s="18"/>
      <c r="G21" s="18"/>
    </row>
    <row r="22" customFormat="false" ht="30" hidden="false" customHeight="true" outlineLevel="0" collapsed="false">
      <c r="B22" s="12" t="s">
        <v>99</v>
      </c>
      <c r="C22" s="17" t="s">
        <v>100</v>
      </c>
      <c r="D22" s="18" t="s">
        <v>101</v>
      </c>
      <c r="E22" s="18"/>
      <c r="F22" s="18"/>
      <c r="G22" s="18"/>
    </row>
    <row r="23" customFormat="false" ht="42.75" hidden="false" customHeight="true" outlineLevel="0" collapsed="false">
      <c r="B23" s="12" t="s">
        <v>102</v>
      </c>
      <c r="C23" s="17" t="s">
        <v>103</v>
      </c>
      <c r="D23" s="18" t="s">
        <v>104</v>
      </c>
      <c r="E23" s="18"/>
      <c r="F23" s="18"/>
      <c r="G23" s="18"/>
    </row>
    <row r="24" customFormat="false" ht="55.5" hidden="false" customHeight="true" outlineLevel="0" collapsed="false">
      <c r="B24" s="12" t="s">
        <v>105</v>
      </c>
      <c r="C24" s="17" t="s">
        <v>106</v>
      </c>
      <c r="D24" s="18" t="s">
        <v>107</v>
      </c>
      <c r="E24" s="18"/>
      <c r="F24" s="18"/>
      <c r="G24" s="18"/>
    </row>
    <row r="25" customFormat="false" ht="42.75" hidden="false" customHeight="true" outlineLevel="0" collapsed="false">
      <c r="B25" s="12" t="s">
        <v>108</v>
      </c>
      <c r="C25" s="17" t="s">
        <v>109</v>
      </c>
      <c r="D25" s="18" t="s">
        <v>110</v>
      </c>
      <c r="E25" s="18"/>
      <c r="F25" s="18"/>
      <c r="G25" s="18"/>
    </row>
    <row r="26" customFormat="false" ht="30" hidden="false" customHeight="true" outlineLevel="0" collapsed="false">
      <c r="B26" s="12" t="s">
        <v>111</v>
      </c>
      <c r="C26" s="17" t="s">
        <v>112</v>
      </c>
      <c r="D26" s="18" t="s">
        <v>113</v>
      </c>
      <c r="E26" s="18"/>
      <c r="F26" s="18"/>
      <c r="G26" s="18"/>
    </row>
    <row r="27" customFormat="false" ht="42.75" hidden="false" customHeight="true" outlineLevel="0" collapsed="false">
      <c r="B27" s="12" t="s">
        <v>114</v>
      </c>
      <c r="C27" s="17" t="s">
        <v>115</v>
      </c>
      <c r="D27" s="18" t="s">
        <v>116</v>
      </c>
      <c r="E27" s="18"/>
      <c r="F27" s="18"/>
      <c r="G27" s="18"/>
    </row>
    <row r="28" customFormat="false" ht="30" hidden="false" customHeight="true" outlineLevel="0" collapsed="false">
      <c r="B28" s="12" t="s">
        <v>117</v>
      </c>
      <c r="C28" s="17" t="s">
        <v>118</v>
      </c>
      <c r="D28" s="18" t="s">
        <v>119</v>
      </c>
      <c r="E28" s="18"/>
      <c r="F28" s="18"/>
      <c r="G28" s="18"/>
    </row>
    <row r="29" customFormat="false" ht="42.75" hidden="false" customHeight="true" outlineLevel="0" collapsed="false">
      <c r="B29" s="12" t="s">
        <v>120</v>
      </c>
      <c r="C29" s="17" t="s">
        <v>121</v>
      </c>
      <c r="D29" s="18" t="s">
        <v>122</v>
      </c>
      <c r="E29" s="18"/>
      <c r="F29" s="18"/>
      <c r="G29" s="18"/>
    </row>
    <row r="30" customFormat="false" ht="30" hidden="false" customHeight="true" outlineLevel="0" collapsed="false">
      <c r="B30" s="12" t="s">
        <v>123</v>
      </c>
      <c r="C30" s="17" t="s">
        <v>124</v>
      </c>
      <c r="D30" s="18" t="s">
        <v>125</v>
      </c>
      <c r="E30" s="18"/>
      <c r="F30" s="18"/>
      <c r="G30" s="18"/>
    </row>
    <row r="31" customFormat="false" ht="30" hidden="false" customHeight="true" outlineLevel="0" collapsed="false">
      <c r="B31" s="12" t="s">
        <v>126</v>
      </c>
      <c r="C31" s="17" t="s">
        <v>127</v>
      </c>
      <c r="D31" s="18" t="s">
        <v>128</v>
      </c>
      <c r="E31" s="18"/>
      <c r="F31" s="18"/>
      <c r="G31" s="18"/>
    </row>
    <row r="32" customFormat="false" ht="30" hidden="false" customHeight="true" outlineLevel="0" collapsed="false">
      <c r="B32" s="12" t="s">
        <v>129</v>
      </c>
      <c r="C32" s="17" t="s">
        <v>130</v>
      </c>
      <c r="D32" s="18" t="s">
        <v>131</v>
      </c>
      <c r="E32" s="18"/>
      <c r="F32" s="18"/>
      <c r="G32" s="18"/>
    </row>
    <row r="33" customFormat="false" ht="30" hidden="false" customHeight="true" outlineLevel="0" collapsed="false">
      <c r="B33" s="12" t="s">
        <v>132</v>
      </c>
      <c r="C33" s="17" t="s">
        <v>133</v>
      </c>
      <c r="D33" s="18" t="s">
        <v>134</v>
      </c>
      <c r="E33" s="18"/>
      <c r="F33" s="18"/>
      <c r="G33" s="18"/>
    </row>
    <row r="34" customFormat="false" ht="42.75" hidden="false" customHeight="true" outlineLevel="0" collapsed="false">
      <c r="B34" s="12" t="s">
        <v>135</v>
      </c>
      <c r="C34" s="17" t="s">
        <v>136</v>
      </c>
      <c r="D34" s="18" t="s">
        <v>137</v>
      </c>
      <c r="E34" s="18"/>
      <c r="F34" s="18"/>
      <c r="G34" s="18"/>
    </row>
    <row r="36" customFormat="false" ht="15" hidden="false" customHeight="false" outlineLevel="0" collapsed="false">
      <c r="B36" s="3" t="s">
        <v>138</v>
      </c>
    </row>
  </sheetData>
  <mergeCells count="19">
    <mergeCell ref="D16:G16"/>
    <mergeCell ref="D17:G17"/>
    <mergeCell ref="D18:G18"/>
    <mergeCell ref="D19:G19"/>
    <mergeCell ref="D20:G20"/>
    <mergeCell ref="D21:G21"/>
    <mergeCell ref="D22:G22"/>
    <mergeCell ref="D23:G23"/>
    <mergeCell ref="D24:G24"/>
    <mergeCell ref="D25:G25"/>
    <mergeCell ref="D26:G26"/>
    <mergeCell ref="D27:G27"/>
    <mergeCell ref="D28:G28"/>
    <mergeCell ref="D29:G29"/>
    <mergeCell ref="D30:G30"/>
    <mergeCell ref="D31:G31"/>
    <mergeCell ref="D32:G32"/>
    <mergeCell ref="D33:G33"/>
    <mergeCell ref="D34:G3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11" min="4" style="0" width="13"/>
  </cols>
  <sheetData>
    <row r="1" customFormat="false" ht="17.35" hidden="false" customHeight="false" outlineLevel="0" collapsed="false">
      <c r="B1" s="1" t="s">
        <v>0</v>
      </c>
    </row>
    <row r="2" customFormat="false" ht="15" hidden="false" customHeight="false" outlineLevel="0" collapsed="false">
      <c r="B2" s="2" t="s">
        <v>139</v>
      </c>
    </row>
    <row r="3" customFormat="false" ht="15" hidden="false" customHeight="false" outlineLevel="0" collapsed="false">
      <c r="B3" s="3" t="s">
        <v>2</v>
      </c>
    </row>
    <row r="5" customFormat="false" ht="23.85" hidden="false" customHeight="false" outlineLevel="0" collapsed="false">
      <c r="B5" s="4" t="s">
        <v>140</v>
      </c>
      <c r="C5" s="4" t="s">
        <v>141</v>
      </c>
      <c r="D5" s="19" t="s">
        <v>142</v>
      </c>
      <c r="E5" s="19" t="s">
        <v>143</v>
      </c>
      <c r="F5" s="19" t="s">
        <v>144</v>
      </c>
      <c r="G5" s="19" t="s">
        <v>145</v>
      </c>
      <c r="H5" s="19" t="s">
        <v>146</v>
      </c>
      <c r="I5" s="19" t="s">
        <v>147</v>
      </c>
      <c r="J5" s="19" t="s">
        <v>148</v>
      </c>
      <c r="K5" s="19" t="s">
        <v>149</v>
      </c>
    </row>
    <row r="6" customFormat="false" ht="15" hidden="false" customHeight="false" outlineLevel="0" collapsed="false">
      <c r="B6" s="5" t="n">
        <v>1000</v>
      </c>
      <c r="C6" s="5" t="s">
        <v>27</v>
      </c>
      <c r="D6" s="20" t="n">
        <f aca="false">Translation!F6</f>
        <v>1331.69</v>
      </c>
      <c r="E6" s="20" t="n">
        <f aca="false">Translation!I6</f>
        <v>600</v>
      </c>
      <c r="F6" s="20" t="n">
        <f aca="false">Translation!L6</f>
        <v>432</v>
      </c>
      <c r="G6" s="20" t="n">
        <f aca="false">Translation!O6</f>
        <v>203.2</v>
      </c>
      <c r="H6" s="20" t="n">
        <f aca="false">Translation!R6</f>
        <v>129.6</v>
      </c>
      <c r="I6" s="6" t="n">
        <f aca="false">SUM(D6:H6)</f>
        <v>2696.49</v>
      </c>
      <c r="J6" s="20" t="n">
        <f aca="false">SUMIFS(Eliminations!$F$6:$F$64,Eliminations!$D$6:$D$64,$B6)</f>
        <v>0</v>
      </c>
      <c r="K6" s="21" t="n">
        <f aca="false">I6+J6</f>
        <v>2696.49</v>
      </c>
    </row>
    <row r="7" customFormat="false" ht="15" hidden="false" customHeight="false" outlineLevel="0" collapsed="false">
      <c r="B7" s="5" t="n">
        <v>1100</v>
      </c>
      <c r="C7" s="5" t="s">
        <v>25</v>
      </c>
      <c r="D7" s="20" t="n">
        <f aca="false">Translation!F7</f>
        <v>2100</v>
      </c>
      <c r="E7" s="20" t="n">
        <f aca="false">Translation!I7</f>
        <v>900</v>
      </c>
      <c r="F7" s="20" t="n">
        <f aca="false">Translation!L7</f>
        <v>756</v>
      </c>
      <c r="G7" s="20" t="n">
        <f aca="false">Translation!O7</f>
        <v>317.5</v>
      </c>
      <c r="H7" s="20" t="n">
        <f aca="false">Translation!R7</f>
        <v>216</v>
      </c>
      <c r="I7" s="6" t="n">
        <f aca="false">SUM(D7:H7)</f>
        <v>4289.5</v>
      </c>
      <c r="J7" s="20" t="n">
        <f aca="false">SUMIFS(Eliminations!$F$6:$F$64,Eliminations!$D$6:$D$64,$B7)</f>
        <v>0</v>
      </c>
      <c r="K7" s="21" t="n">
        <f aca="false">I7+J7</f>
        <v>4289.5</v>
      </c>
    </row>
    <row r="8" customFormat="false" ht="15" hidden="false" customHeight="false" outlineLevel="0" collapsed="false">
      <c r="B8" s="5" t="n">
        <v>1150</v>
      </c>
      <c r="C8" s="5" t="s">
        <v>150</v>
      </c>
      <c r="D8" s="20" t="n">
        <f aca="false">Translation!F8</f>
        <v>540</v>
      </c>
      <c r="E8" s="20" t="n">
        <f aca="false">Translation!I8</f>
        <v>150</v>
      </c>
      <c r="F8" s="20" t="n">
        <f aca="false">Translation!L8</f>
        <v>0</v>
      </c>
      <c r="G8" s="20" t="n">
        <f aca="false">Translation!O8</f>
        <v>0</v>
      </c>
      <c r="H8" s="20" t="n">
        <f aca="false">Translation!R8</f>
        <v>0</v>
      </c>
      <c r="I8" s="6" t="n">
        <f aca="false">SUM(D8:H8)</f>
        <v>690</v>
      </c>
      <c r="J8" s="20" t="n">
        <f aca="false">SUMIFS(Eliminations!$F$6:$F$64,Eliminations!$D$6:$D$64,$B8)</f>
        <v>-690</v>
      </c>
      <c r="K8" s="21" t="n">
        <f aca="false">I8+J8</f>
        <v>0</v>
      </c>
    </row>
    <row r="9" customFormat="false" ht="15" hidden="false" customHeight="false" outlineLevel="0" collapsed="false">
      <c r="B9" s="5" t="n">
        <v>1200</v>
      </c>
      <c r="C9" s="5" t="s">
        <v>24</v>
      </c>
      <c r="D9" s="20" t="n">
        <f aca="false">Translation!F9</f>
        <v>1500</v>
      </c>
      <c r="E9" s="20" t="n">
        <f aca="false">Translation!I9</f>
        <v>700</v>
      </c>
      <c r="F9" s="20" t="n">
        <f aca="false">Translation!L9</f>
        <v>540</v>
      </c>
      <c r="G9" s="20" t="n">
        <f aca="false">Translation!O9</f>
        <v>228.6</v>
      </c>
      <c r="H9" s="20" t="n">
        <f aca="false">Translation!R9</f>
        <v>162</v>
      </c>
      <c r="I9" s="6" t="n">
        <f aca="false">SUM(D9:H9)</f>
        <v>3130.6</v>
      </c>
      <c r="J9" s="20" t="n">
        <f aca="false">SUMIFS(Eliminations!$F$6:$F$64,Eliminations!$D$6:$D$64,$B9)</f>
        <v>-50</v>
      </c>
      <c r="K9" s="21" t="n">
        <f aca="false">I9+J9</f>
        <v>3080.6</v>
      </c>
    </row>
    <row r="10" customFormat="false" ht="15" hidden="false" customHeight="false" outlineLevel="0" collapsed="false">
      <c r="B10" s="5" t="n">
        <v>1500</v>
      </c>
      <c r="C10" s="5" t="s">
        <v>21</v>
      </c>
      <c r="D10" s="20" t="n">
        <f aca="false">Translation!F10</f>
        <v>6000</v>
      </c>
      <c r="E10" s="20" t="n">
        <f aca="false">Translation!I10</f>
        <v>2500</v>
      </c>
      <c r="F10" s="20" t="n">
        <f aca="false">Translation!L10</f>
        <v>1944</v>
      </c>
      <c r="G10" s="20" t="n">
        <f aca="false">Translation!O10</f>
        <v>1143</v>
      </c>
      <c r="H10" s="20" t="n">
        <f aca="false">Translation!R10</f>
        <v>756</v>
      </c>
      <c r="I10" s="6" t="n">
        <f aca="false">SUM(D10:H10)</f>
        <v>12343</v>
      </c>
      <c r="J10" s="20" t="n">
        <f aca="false">SUMIFS(Eliminations!$F$6:$F$64,Eliminations!$D$6:$D$64,$B10)</f>
        <v>0</v>
      </c>
      <c r="K10" s="21" t="n">
        <f aca="false">I10+J10</f>
        <v>12343</v>
      </c>
    </row>
    <row r="11" customFormat="false" ht="15" hidden="false" customHeight="false" outlineLevel="0" collapsed="false">
      <c r="B11" s="5" t="n">
        <v>1600</v>
      </c>
      <c r="C11" s="5" t="s">
        <v>151</v>
      </c>
      <c r="D11" s="20" t="n">
        <f aca="false">Translation!F11</f>
        <v>3580</v>
      </c>
      <c r="E11" s="20" t="n">
        <f aca="false">Translation!I11</f>
        <v>600</v>
      </c>
      <c r="F11" s="20" t="n">
        <f aca="false">Translation!L11</f>
        <v>486</v>
      </c>
      <c r="G11" s="20" t="n">
        <f aca="false">Translation!O11</f>
        <v>0</v>
      </c>
      <c r="H11" s="20" t="n">
        <f aca="false">Translation!R11</f>
        <v>0</v>
      </c>
      <c r="I11" s="6" t="n">
        <f aca="false">SUM(D11:H11)</f>
        <v>4666</v>
      </c>
      <c r="J11" s="20" t="n">
        <f aca="false">SUMIFS(Eliminations!$F$6:$F$64,Eliminations!$D$6:$D$64,$B11)</f>
        <v>-4666</v>
      </c>
      <c r="K11" s="21" t="n">
        <f aca="false">I11+J11</f>
        <v>0</v>
      </c>
    </row>
    <row r="12" customFormat="false" ht="15" hidden="false" customHeight="false" outlineLevel="0" collapsed="false">
      <c r="B12" s="5" t="n">
        <v>1650</v>
      </c>
      <c r="C12" s="5" t="s">
        <v>152</v>
      </c>
      <c r="D12" s="20" t="n">
        <f aca="false">Translation!F12</f>
        <v>1500</v>
      </c>
      <c r="E12" s="20" t="n">
        <f aca="false">Translation!I12</f>
        <v>0</v>
      </c>
      <c r="F12" s="20" t="n">
        <f aca="false">Translation!L12</f>
        <v>0</v>
      </c>
      <c r="G12" s="20" t="n">
        <f aca="false">Translation!O12</f>
        <v>0</v>
      </c>
      <c r="H12" s="20" t="n">
        <f aca="false">Translation!R12</f>
        <v>0</v>
      </c>
      <c r="I12" s="6" t="n">
        <f aca="false">SUM(D12:H12)</f>
        <v>1500</v>
      </c>
      <c r="J12" s="20" t="n">
        <f aca="false">SUMIFS(Eliminations!$F$6:$F$64,Eliminations!$D$6:$D$64,$B12)</f>
        <v>338.563</v>
      </c>
      <c r="K12" s="21" t="n">
        <f aca="false">I12+J12</f>
        <v>1838.563</v>
      </c>
    </row>
    <row r="13" customFormat="false" ht="15" hidden="false" customHeight="false" outlineLevel="0" collapsed="false">
      <c r="B13" s="5" t="n">
        <v>1700</v>
      </c>
      <c r="C13" s="5" t="s">
        <v>20</v>
      </c>
      <c r="D13" s="20" t="n">
        <v>0</v>
      </c>
      <c r="E13" s="20" t="n">
        <v>0</v>
      </c>
      <c r="F13" s="20" t="n">
        <v>0</v>
      </c>
      <c r="G13" s="20" t="n">
        <v>0</v>
      </c>
      <c r="H13" s="20" t="n">
        <v>0</v>
      </c>
      <c r="I13" s="6" t="n">
        <f aca="false">SUM(D13:H13)</f>
        <v>0</v>
      </c>
      <c r="J13" s="20" t="n">
        <f aca="false">SUMIFS(Eliminations!$F$6:$F$64,Eliminations!$D$6:$D$64,$B13)</f>
        <v>641</v>
      </c>
      <c r="K13" s="21" t="n">
        <f aca="false">I13+J13</f>
        <v>641</v>
      </c>
    </row>
    <row r="14" customFormat="false" ht="15" hidden="false" customHeight="false" outlineLevel="0" collapsed="false">
      <c r="B14" s="5" t="n">
        <v>2000</v>
      </c>
      <c r="C14" s="5" t="s">
        <v>37</v>
      </c>
      <c r="D14" s="20" t="n">
        <f aca="false">Translation!F13</f>
        <v>-1700</v>
      </c>
      <c r="E14" s="20" t="n">
        <f aca="false">Translation!I13</f>
        <v>-650</v>
      </c>
      <c r="F14" s="20" t="n">
        <f aca="false">Translation!L13</f>
        <v>-486</v>
      </c>
      <c r="G14" s="20" t="n">
        <f aca="false">Translation!O13</f>
        <v>-228.6</v>
      </c>
      <c r="H14" s="20" t="n">
        <f aca="false">Translation!R13</f>
        <v>-162</v>
      </c>
      <c r="I14" s="6" t="n">
        <f aca="false">SUM(D14:H14)</f>
        <v>-3226.6</v>
      </c>
      <c r="J14" s="20" t="n">
        <f aca="false">SUMIFS(Eliminations!$F$6:$F$64,Eliminations!$D$6:$D$64,$B14)</f>
        <v>0</v>
      </c>
      <c r="K14" s="21" t="n">
        <f aca="false">I14+J14</f>
        <v>-3226.6</v>
      </c>
    </row>
    <row r="15" customFormat="false" ht="15" hidden="false" customHeight="false" outlineLevel="0" collapsed="false">
      <c r="B15" s="5" t="n">
        <v>2150</v>
      </c>
      <c r="C15" s="5" t="s">
        <v>153</v>
      </c>
      <c r="D15" s="20" t="n">
        <f aca="false">Translation!F14</f>
        <v>-150</v>
      </c>
      <c r="E15" s="20" t="n">
        <f aca="false">Translation!I14</f>
        <v>0</v>
      </c>
      <c r="F15" s="20" t="n">
        <f aca="false">Translation!L14</f>
        <v>-540</v>
      </c>
      <c r="G15" s="20" t="n">
        <f aca="false">Translation!O14</f>
        <v>0</v>
      </c>
      <c r="H15" s="20" t="n">
        <f aca="false">Translation!R14</f>
        <v>0</v>
      </c>
      <c r="I15" s="6" t="n">
        <f aca="false">SUM(D15:H15)</f>
        <v>-690</v>
      </c>
      <c r="J15" s="20" t="n">
        <f aca="false">SUMIFS(Eliminations!$F$6:$F$64,Eliminations!$D$6:$D$64,$B15)</f>
        <v>690</v>
      </c>
      <c r="K15" s="21" t="n">
        <f aca="false">I15+J15</f>
        <v>0</v>
      </c>
    </row>
    <row r="16" customFormat="false" ht="15" hidden="false" customHeight="false" outlineLevel="0" collapsed="false">
      <c r="B16" s="5" t="n">
        <v>2500</v>
      </c>
      <c r="C16" s="5" t="s">
        <v>36</v>
      </c>
      <c r="D16" s="20" t="n">
        <f aca="false">Translation!F15</f>
        <v>-5000</v>
      </c>
      <c r="E16" s="20" t="n">
        <f aca="false">Translation!I15</f>
        <v>-1600</v>
      </c>
      <c r="F16" s="20" t="n">
        <f aca="false">Translation!L15</f>
        <v>-1134</v>
      </c>
      <c r="G16" s="20" t="n">
        <f aca="false">Translation!O15</f>
        <v>-381</v>
      </c>
      <c r="H16" s="20" t="n">
        <f aca="false">Translation!R15</f>
        <v>-270</v>
      </c>
      <c r="I16" s="6" t="n">
        <f aca="false">SUM(D16:H16)</f>
        <v>-8385</v>
      </c>
      <c r="J16" s="20" t="n">
        <f aca="false">SUMIFS(Eliminations!$F$6:$F$64,Eliminations!$D$6:$D$64,$B16)</f>
        <v>0</v>
      </c>
      <c r="K16" s="21" t="n">
        <f aca="false">I16+J16</f>
        <v>-8385</v>
      </c>
    </row>
    <row r="17" customFormat="false" ht="15" hidden="false" customHeight="false" outlineLevel="0" collapsed="false">
      <c r="B17" s="5" t="n">
        <v>3000</v>
      </c>
      <c r="C17" s="5" t="s">
        <v>30</v>
      </c>
      <c r="D17" s="20" t="n">
        <f aca="false">Translation!F16</f>
        <v>-5000</v>
      </c>
      <c r="E17" s="20" t="n">
        <f aca="false">Translation!I16</f>
        <v>-1000</v>
      </c>
      <c r="F17" s="20" t="n">
        <f aca="false">Translation!L16</f>
        <v>-1100</v>
      </c>
      <c r="G17" s="20" t="n">
        <f aca="false">Translation!O16</f>
        <v>-625</v>
      </c>
      <c r="H17" s="20" t="n">
        <f aca="false">Translation!R16</f>
        <v>-440</v>
      </c>
      <c r="I17" s="6" t="n">
        <f aca="false">SUM(D17:H17)</f>
        <v>-8165</v>
      </c>
      <c r="J17" s="20" t="n">
        <f aca="false">SUMIFS(Eliminations!$F$6:$F$64,Eliminations!$D$6:$D$64,$B17)</f>
        <v>3165</v>
      </c>
      <c r="K17" s="21" t="n">
        <f aca="false">I17+J17</f>
        <v>-5000</v>
      </c>
    </row>
    <row r="18" customFormat="false" ht="15" hidden="false" customHeight="false" outlineLevel="0" collapsed="false">
      <c r="B18" s="5" t="n">
        <v>3100</v>
      </c>
      <c r="C18" s="5" t="s">
        <v>154</v>
      </c>
      <c r="D18" s="20" t="n">
        <f aca="false">Translation!F17</f>
        <v>-2800</v>
      </c>
      <c r="E18" s="20" t="n">
        <f aca="false">Translation!I17</f>
        <v>-1460</v>
      </c>
      <c r="F18" s="20" t="n">
        <f aca="false">Translation!L17</f>
        <v>-460</v>
      </c>
      <c r="G18" s="20" t="n">
        <f aca="false">Translation!O17</f>
        <v>-377</v>
      </c>
      <c r="H18" s="20" t="n">
        <f aca="false">Translation!R17</f>
        <v>-241</v>
      </c>
      <c r="I18" s="6" t="n">
        <f aca="false">SUM(D18:H18)</f>
        <v>-5338</v>
      </c>
      <c r="J18" s="20" t="n">
        <f aca="false">SUMIFS(Eliminations!$F$6:$F$64,Eliminations!$D$6:$D$64,$B18)</f>
        <v>1432.465</v>
      </c>
      <c r="K18" s="21" t="n">
        <f aca="false">I18+J18</f>
        <v>-3905.535</v>
      </c>
    </row>
    <row r="19" customFormat="false" ht="15" hidden="false" customHeight="false" outlineLevel="0" collapsed="false">
      <c r="B19" s="5" t="n">
        <v>3200</v>
      </c>
      <c r="C19" s="5" t="s">
        <v>32</v>
      </c>
      <c r="D19" s="20" t="n">
        <f aca="false">Translation!F26</f>
        <v>-0</v>
      </c>
      <c r="E19" s="20" t="n">
        <f aca="false">Translation!I26</f>
        <v>-0</v>
      </c>
      <c r="F19" s="20" t="n">
        <f aca="false">Translation!L26</f>
        <v>30.7000000000001</v>
      </c>
      <c r="G19" s="20" t="n">
        <f aca="false">Translation!O26</f>
        <v>-11.9</v>
      </c>
      <c r="H19" s="20" t="n">
        <f aca="false">Translation!R26</f>
        <v>12.8999999999999</v>
      </c>
      <c r="I19" s="6" t="n">
        <f aca="false">SUM(D19:H19)</f>
        <v>31.7</v>
      </c>
      <c r="J19" s="20" t="n">
        <f aca="false">SUMIFS(Eliminations!$F$6:$F$64,Eliminations!$D$6:$D$64,$B19)</f>
        <v>-14.93</v>
      </c>
      <c r="K19" s="21" t="n">
        <f aca="false">I19+J19</f>
        <v>16.77</v>
      </c>
    </row>
    <row r="20" customFormat="false" ht="15" hidden="false" customHeight="false" outlineLevel="0" collapsed="false">
      <c r="B20" s="5" t="n">
        <v>3300</v>
      </c>
      <c r="C20" s="5" t="s">
        <v>34</v>
      </c>
      <c r="D20" s="20" t="n">
        <v>0</v>
      </c>
      <c r="E20" s="20" t="n">
        <v>0</v>
      </c>
      <c r="F20" s="20" t="n">
        <v>0</v>
      </c>
      <c r="G20" s="20" t="n">
        <v>0</v>
      </c>
      <c r="H20" s="20" t="n">
        <v>0</v>
      </c>
      <c r="I20" s="6" t="n">
        <f aca="false">SUM(D20:H20)</f>
        <v>0</v>
      </c>
      <c r="J20" s="20" t="n">
        <f aca="false">SUMIFS(Eliminations!$F$6:$F$64,Eliminations!$D$6:$D$64,$B20)</f>
        <v>-780.07</v>
      </c>
      <c r="K20" s="21" t="n">
        <f aca="false">I20+J20</f>
        <v>-780.07</v>
      </c>
    </row>
    <row r="21" customFormat="false" ht="15" hidden="false" customHeight="false" outlineLevel="0" collapsed="false">
      <c r="B21" s="5" t="n">
        <v>4000</v>
      </c>
      <c r="C21" s="5" t="s">
        <v>4</v>
      </c>
      <c r="D21" s="20" t="n">
        <f aca="false">Translation!F18</f>
        <v>-14000</v>
      </c>
      <c r="E21" s="20" t="n">
        <f aca="false">Translation!I18</f>
        <v>-4200</v>
      </c>
      <c r="F21" s="20" t="n">
        <f aca="false">Translation!L18</f>
        <v>-3924</v>
      </c>
      <c r="G21" s="20" t="n">
        <f aca="false">Translation!O18</f>
        <v>-2048</v>
      </c>
      <c r="H21" s="20" t="n">
        <f aca="false">Translation!R18</f>
        <v>-1308</v>
      </c>
      <c r="I21" s="6" t="n">
        <f aca="false">SUM(D21:H21)</f>
        <v>-25480</v>
      </c>
      <c r="J21" s="20" t="n">
        <f aca="false">SUMIFS(Eliminations!$F$6:$F$64,Eliminations!$D$6:$D$64,$B21)</f>
        <v>0</v>
      </c>
      <c r="K21" s="21" t="n">
        <f aca="false">I21+J21</f>
        <v>-25480</v>
      </c>
    </row>
    <row r="22" customFormat="false" ht="15" hidden="false" customHeight="false" outlineLevel="0" collapsed="false">
      <c r="B22" s="5" t="n">
        <v>4050</v>
      </c>
      <c r="C22" s="5" t="s">
        <v>155</v>
      </c>
      <c r="D22" s="20" t="n">
        <f aca="false">Translation!F19</f>
        <v>0</v>
      </c>
      <c r="E22" s="20" t="n">
        <f aca="false">Translation!I19</f>
        <v>-800</v>
      </c>
      <c r="F22" s="20" t="n">
        <f aca="false">Translation!L19</f>
        <v>0</v>
      </c>
      <c r="G22" s="20" t="n">
        <f aca="false">Translation!O19</f>
        <v>0</v>
      </c>
      <c r="H22" s="20" t="n">
        <f aca="false">Translation!R19</f>
        <v>0</v>
      </c>
      <c r="I22" s="6" t="n">
        <f aca="false">SUM(D22:H22)</f>
        <v>-800</v>
      </c>
      <c r="J22" s="20" t="n">
        <f aca="false">SUMIFS(Eliminations!$F$6:$F$64,Eliminations!$D$6:$D$64,$B22)</f>
        <v>800</v>
      </c>
      <c r="K22" s="21" t="n">
        <f aca="false">I22+J22</f>
        <v>0</v>
      </c>
    </row>
    <row r="23" customFormat="false" ht="15" hidden="false" customHeight="false" outlineLevel="0" collapsed="false">
      <c r="B23" s="5" t="n">
        <v>4100</v>
      </c>
      <c r="C23" s="5" t="s">
        <v>156</v>
      </c>
      <c r="D23" s="20" t="n">
        <f aca="false">Translation!F20</f>
        <v>-131.69</v>
      </c>
      <c r="E23" s="20" t="n">
        <f aca="false">Translation!I20</f>
        <v>0</v>
      </c>
      <c r="F23" s="20" t="n">
        <f aca="false">Translation!L20</f>
        <v>0</v>
      </c>
      <c r="G23" s="20" t="n">
        <f aca="false">Translation!O20</f>
        <v>0</v>
      </c>
      <c r="H23" s="20" t="n">
        <f aca="false">Translation!R20</f>
        <v>0</v>
      </c>
      <c r="I23" s="6" t="n">
        <f aca="false">SUM(D23:H23)</f>
        <v>-131.69</v>
      </c>
      <c r="J23" s="20" t="n">
        <f aca="false">SUMIFS(Eliminations!$F$6:$F$64,Eliminations!$D$6:$D$64,$B23)</f>
        <v>131.69</v>
      </c>
      <c r="K23" s="21" t="n">
        <f aca="false">I23+J23</f>
        <v>0</v>
      </c>
    </row>
    <row r="24" customFormat="false" ht="15" hidden="false" customHeight="false" outlineLevel="0" collapsed="false">
      <c r="B24" s="5" t="n">
        <v>4200</v>
      </c>
      <c r="C24" s="5" t="s">
        <v>157</v>
      </c>
      <c r="D24" s="20" t="n">
        <v>0</v>
      </c>
      <c r="E24" s="20" t="n">
        <v>0</v>
      </c>
      <c r="F24" s="20" t="n">
        <v>0</v>
      </c>
      <c r="G24" s="20" t="n">
        <v>0</v>
      </c>
      <c r="H24" s="20" t="n">
        <v>0</v>
      </c>
      <c r="I24" s="6" t="n">
        <f aca="false">SUM(D24:H24)</f>
        <v>0</v>
      </c>
      <c r="J24" s="20" t="n">
        <f aca="false">SUMIFS(Eliminations!$F$6:$F$64,Eliminations!$D$6:$D$64,$B24)</f>
        <v>-259.718</v>
      </c>
      <c r="K24" s="21" t="n">
        <f aca="false">I24+J24</f>
        <v>-259.718</v>
      </c>
    </row>
    <row r="25" customFormat="false" ht="15" hidden="false" customHeight="false" outlineLevel="0" collapsed="false">
      <c r="B25" s="5" t="n">
        <v>5000</v>
      </c>
      <c r="C25" s="5" t="s">
        <v>5</v>
      </c>
      <c r="D25" s="20" t="n">
        <f aca="false">Translation!F21</f>
        <v>7600</v>
      </c>
      <c r="E25" s="20" t="n">
        <f aca="false">Translation!I21</f>
        <v>3000</v>
      </c>
      <c r="F25" s="20" t="n">
        <f aca="false">Translation!L21</f>
        <v>2398</v>
      </c>
      <c r="G25" s="20" t="n">
        <f aca="false">Translation!O21</f>
        <v>1280</v>
      </c>
      <c r="H25" s="20" t="n">
        <f aca="false">Translation!R21</f>
        <v>828.4</v>
      </c>
      <c r="I25" s="6" t="n">
        <f aca="false">SUM(D25:H25)</f>
        <v>15106.4</v>
      </c>
      <c r="J25" s="20" t="n">
        <f aca="false">SUMIFS(Eliminations!$F$6:$F$64,Eliminations!$D$6:$D$64,$B25)</f>
        <v>62</v>
      </c>
      <c r="K25" s="21" t="n">
        <f aca="false">I25+J25</f>
        <v>15168.4</v>
      </c>
    </row>
    <row r="26" customFormat="false" ht="15" hidden="false" customHeight="false" outlineLevel="0" collapsed="false">
      <c r="B26" s="5" t="n">
        <v>5050</v>
      </c>
      <c r="C26" s="5" t="s">
        <v>158</v>
      </c>
      <c r="D26" s="20" t="n">
        <f aca="false">Translation!F22</f>
        <v>800</v>
      </c>
      <c r="E26" s="20" t="n">
        <f aca="false">Translation!I22</f>
        <v>0</v>
      </c>
      <c r="F26" s="20" t="n">
        <f aca="false">Translation!L22</f>
        <v>0</v>
      </c>
      <c r="G26" s="20" t="n">
        <f aca="false">Translation!O22</f>
        <v>0</v>
      </c>
      <c r="H26" s="20" t="n">
        <f aca="false">Translation!R22</f>
        <v>0</v>
      </c>
      <c r="I26" s="6" t="n">
        <f aca="false">SUM(D26:H26)</f>
        <v>800</v>
      </c>
      <c r="J26" s="20" t="n">
        <f aca="false">SUMIFS(Eliminations!$F$6:$F$64,Eliminations!$D$6:$D$64,$B26)</f>
        <v>-800</v>
      </c>
      <c r="K26" s="21" t="n">
        <f aca="false">I26+J26</f>
        <v>0</v>
      </c>
    </row>
    <row r="27" customFormat="false" ht="15" hidden="false" customHeight="false" outlineLevel="0" collapsed="false">
      <c r="B27" s="5" t="n">
        <v>6000</v>
      </c>
      <c r="C27" s="5" t="s">
        <v>7</v>
      </c>
      <c r="D27" s="20" t="n">
        <f aca="false">Translation!F23</f>
        <v>3100</v>
      </c>
      <c r="E27" s="20" t="n">
        <f aca="false">Translation!I23</f>
        <v>950</v>
      </c>
      <c r="F27" s="20" t="n">
        <f aca="false">Translation!L23</f>
        <v>872</v>
      </c>
      <c r="G27" s="20" t="n">
        <f aca="false">Translation!O23</f>
        <v>384</v>
      </c>
      <c r="H27" s="20" t="n">
        <f aca="false">Translation!R23</f>
        <v>250.7</v>
      </c>
      <c r="I27" s="6" t="n">
        <f aca="false">SUM(D27:H27)</f>
        <v>5556.7</v>
      </c>
      <c r="J27" s="20" t="n">
        <f aca="false">SUMIFS(Eliminations!$F$6:$F$64,Eliminations!$D$6:$D$64,$B27)</f>
        <v>0</v>
      </c>
      <c r="K27" s="21" t="n">
        <f aca="false">I27+J27</f>
        <v>5556.7</v>
      </c>
    </row>
    <row r="28" customFormat="false" ht="15" hidden="false" customHeight="false" outlineLevel="0" collapsed="false">
      <c r="B28" s="5" t="n">
        <v>7000</v>
      </c>
      <c r="C28" s="5" t="s">
        <v>11</v>
      </c>
      <c r="D28" s="20" t="n">
        <f aca="false">Translation!F24</f>
        <v>280</v>
      </c>
      <c r="E28" s="20" t="n">
        <f aca="false">Translation!I24</f>
        <v>60</v>
      </c>
      <c r="F28" s="20" t="n">
        <f aca="false">Translation!L24</f>
        <v>32.7</v>
      </c>
      <c r="G28" s="20" t="n">
        <f aca="false">Translation!O24</f>
        <v>25.6</v>
      </c>
      <c r="H28" s="20" t="n">
        <f aca="false">Translation!R24</f>
        <v>10.9</v>
      </c>
      <c r="I28" s="6" t="n">
        <f aca="false">SUM(D28:H28)</f>
        <v>409.2</v>
      </c>
      <c r="J28" s="20" t="n">
        <f aca="false">SUMIFS(Eliminations!$F$6:$F$64,Eliminations!$D$6:$D$64,$B28)</f>
        <v>0</v>
      </c>
      <c r="K28" s="21" t="n">
        <f aca="false">I28+J28</f>
        <v>409.2</v>
      </c>
    </row>
    <row r="29" customFormat="false" ht="15" hidden="false" customHeight="false" outlineLevel="0" collapsed="false">
      <c r="B29" s="5" t="n">
        <v>8000</v>
      </c>
      <c r="C29" s="5" t="s">
        <v>13</v>
      </c>
      <c r="D29" s="20" t="n">
        <f aca="false">Translation!F25</f>
        <v>450</v>
      </c>
      <c r="E29" s="20" t="n">
        <f aca="false">Translation!I25</f>
        <v>250</v>
      </c>
      <c r="F29" s="20" t="n">
        <f aca="false">Translation!L25</f>
        <v>152.6</v>
      </c>
      <c r="G29" s="20" t="n">
        <f aca="false">Translation!O25</f>
        <v>89.6</v>
      </c>
      <c r="H29" s="20" t="n">
        <f aca="false">Translation!R25</f>
        <v>54.5</v>
      </c>
      <c r="I29" s="6" t="n">
        <f aca="false">SUM(D29:H29)</f>
        <v>996.7</v>
      </c>
      <c r="J29" s="20" t="n">
        <f aca="false">SUMIFS(Eliminations!$F$6:$F$64,Eliminations!$D$6:$D$64,$B29)</f>
        <v>0</v>
      </c>
      <c r="K29" s="21" t="n">
        <f aca="false">I29+J29</f>
        <v>996.7</v>
      </c>
    </row>
    <row r="30" customFormat="false" ht="15" hidden="false" customHeight="false" outlineLevel="0" collapsed="false">
      <c r="C30" s="7" t="s">
        <v>159</v>
      </c>
      <c r="D30" s="8" t="n">
        <f aca="false">ROUND(SUM(D6:D29),2)</f>
        <v>0</v>
      </c>
      <c r="E30" s="8" t="n">
        <f aca="false">ROUND(SUM(E6:E29),2)</f>
        <v>0</v>
      </c>
      <c r="F30" s="8" t="n">
        <f aca="false">ROUND(SUM(F6:F29),2)</f>
        <v>0</v>
      </c>
      <c r="G30" s="8" t="n">
        <f aca="false">ROUND(SUM(G6:G29),2)</f>
        <v>0</v>
      </c>
      <c r="H30" s="8" t="n">
        <f aca="false">ROUND(SUM(H6:H29),2)</f>
        <v>0</v>
      </c>
      <c r="I30" s="8" t="n">
        <f aca="false">ROUND(SUM(I6:I29),2)</f>
        <v>0</v>
      </c>
      <c r="J30" s="8" t="n">
        <f aca="false">ROUND(SUM(J6:J29),2)</f>
        <v>0</v>
      </c>
      <c r="K30" s="8" t="n">
        <f aca="false">ROUND(SUM(K6:K29),2)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72"/>
    <col collapsed="false" customWidth="true" hidden="false" outlineLevel="0" max="4" min="4" style="0" width="8"/>
    <col collapsed="false" customWidth="true" hidden="false" outlineLevel="0" max="5" min="5" style="0" width="30"/>
    <col collapsed="false" customWidth="true" hidden="false" outlineLevel="0" max="6" min="6" style="0" width="12"/>
  </cols>
  <sheetData>
    <row r="1" customFormat="false" ht="17.35" hidden="false" customHeight="false" outlineLevel="0" collapsed="false">
      <c r="B1" s="1" t="s">
        <v>0</v>
      </c>
    </row>
    <row r="2" customFormat="false" ht="15" hidden="false" customHeight="false" outlineLevel="0" collapsed="false">
      <c r="B2" s="2" t="s">
        <v>160</v>
      </c>
    </row>
    <row r="3" customFormat="false" ht="15" hidden="false" customHeight="false" outlineLevel="0" collapsed="false">
      <c r="B3" s="3" t="s">
        <v>2</v>
      </c>
    </row>
    <row r="5" customFormat="false" ht="15" hidden="false" customHeight="false" outlineLevel="0" collapsed="false">
      <c r="B5" s="4" t="s">
        <v>161</v>
      </c>
      <c r="C5" s="4" t="s">
        <v>162</v>
      </c>
      <c r="D5" s="19" t="s">
        <v>140</v>
      </c>
      <c r="E5" s="19" t="s">
        <v>141</v>
      </c>
      <c r="F5" s="19" t="s">
        <v>163</v>
      </c>
    </row>
    <row r="6" customFormat="false" ht="15" hidden="false" customHeight="false" outlineLevel="0" collapsed="false">
      <c r="B6" s="5" t="n">
        <v>1</v>
      </c>
      <c r="C6" s="5" t="s">
        <v>164</v>
      </c>
      <c r="D6" s="5" t="n">
        <v>3000</v>
      </c>
      <c r="E6" s="5" t="s">
        <v>30</v>
      </c>
      <c r="F6" s="20" t="n">
        <f aca="false">(-Translation!I16)</f>
        <v>1000</v>
      </c>
    </row>
    <row r="7" customFormat="false" ht="15" hidden="false" customHeight="false" outlineLevel="0" collapsed="false">
      <c r="B7" s="5" t="n">
        <v>1</v>
      </c>
      <c r="C7" s="5" t="s">
        <v>164</v>
      </c>
      <c r="D7" s="5" t="n">
        <v>3100</v>
      </c>
      <c r="E7" s="5" t="s">
        <v>154</v>
      </c>
      <c r="F7" s="20" t="n">
        <f aca="false">(Inputs!$G$7*Inputs!$F$14)</f>
        <v>1200</v>
      </c>
    </row>
    <row r="8" customFormat="false" ht="15" hidden="false" customHeight="false" outlineLevel="0" collapsed="false">
      <c r="B8" s="5" t="n">
        <v>1</v>
      </c>
      <c r="C8" s="5" t="s">
        <v>164</v>
      </c>
      <c r="D8" s="5" t="n">
        <v>1700</v>
      </c>
      <c r="E8" s="5" t="s">
        <v>20</v>
      </c>
      <c r="F8" s="20" t="n">
        <f aca="false">(Inputs!$J$6*(Inputs!$F$7*Inputs!$F$14)-Inputs!$J$7*((-Translation!I16)+(Inputs!$G$7*Inputs!$F$14)))*Inputs!$D$14/Inputs!$F$14</f>
        <v>500</v>
      </c>
    </row>
    <row r="9" customFormat="false" ht="15" hidden="false" customHeight="false" outlineLevel="0" collapsed="false">
      <c r="B9" s="5" t="n">
        <v>1</v>
      </c>
      <c r="C9" s="5" t="s">
        <v>164</v>
      </c>
      <c r="D9" s="5" t="n">
        <v>1600</v>
      </c>
      <c r="E9" s="5" t="s">
        <v>151</v>
      </c>
      <c r="F9" s="20" t="n">
        <f aca="false">-(Inputs!$F$7*Inputs!$D$14)</f>
        <v>-2700</v>
      </c>
    </row>
    <row r="10" customFormat="false" ht="15" hidden="false" customHeight="false" outlineLevel="0" collapsed="false">
      <c r="B10" s="5" t="n">
        <v>1</v>
      </c>
      <c r="C10" s="5" t="s">
        <v>164</v>
      </c>
      <c r="D10" s="5" t="n">
        <v>3300</v>
      </c>
      <c r="E10" s="5" t="s">
        <v>34</v>
      </c>
      <c r="F10" s="20" t="n">
        <f aca="false">-((1-Inputs!$J$7)*((-Translation!I16)+(Inputs!$G$7*Inputs!$F$14))-(1-Inputs!$J$6)*(Inputs!$F$7*Inputs!$D$14))</f>
        <v>-0</v>
      </c>
    </row>
    <row r="11" customFormat="false" ht="15" hidden="false" customHeight="false" outlineLevel="0" collapsed="false">
      <c r="B11" s="5" t="n">
        <v>2</v>
      </c>
      <c r="C11" s="5" t="s">
        <v>165</v>
      </c>
      <c r="D11" s="5" t="n">
        <v>3000</v>
      </c>
      <c r="E11" s="5" t="s">
        <v>30</v>
      </c>
      <c r="F11" s="20" t="n">
        <f aca="false">(-Translation!L16)</f>
        <v>1100</v>
      </c>
    </row>
    <row r="12" customFormat="false" ht="15" hidden="false" customHeight="false" outlineLevel="0" collapsed="false">
      <c r="B12" s="5" t="n">
        <v>2</v>
      </c>
      <c r="C12" s="5" t="s">
        <v>165</v>
      </c>
      <c r="D12" s="5" t="n">
        <v>3100</v>
      </c>
      <c r="E12" s="5" t="s">
        <v>154</v>
      </c>
      <c r="F12" s="20" t="n">
        <f aca="false">(Inputs!$G$8*Inputs!$F$15)</f>
        <v>0</v>
      </c>
    </row>
    <row r="13" customFormat="false" ht="15" hidden="false" customHeight="false" outlineLevel="0" collapsed="false">
      <c r="B13" s="5" t="n">
        <v>2</v>
      </c>
      <c r="C13" s="5" t="s">
        <v>165</v>
      </c>
      <c r="D13" s="5" t="n">
        <v>1700</v>
      </c>
      <c r="E13" s="5" t="s">
        <v>20</v>
      </c>
      <c r="F13" s="20" t="n">
        <f aca="false">(Inputs!$J$6*(Inputs!$F$8*Inputs!$F$14)-Inputs!$J$8*((-Translation!L16)+(Inputs!$G$8*Inputs!$F$15)))*Inputs!$D$15/Inputs!$F$15</f>
        <v>0</v>
      </c>
    </row>
    <row r="14" customFormat="false" ht="15" hidden="false" customHeight="false" outlineLevel="0" collapsed="false">
      <c r="B14" s="5" t="n">
        <v>2</v>
      </c>
      <c r="C14" s="5" t="s">
        <v>165</v>
      </c>
      <c r="D14" s="5" t="n">
        <v>1600</v>
      </c>
      <c r="E14" s="5" t="s">
        <v>151</v>
      </c>
      <c r="F14" s="20" t="n">
        <f aca="false">-(Inputs!$F$8*Inputs!$D$14)</f>
        <v>-880</v>
      </c>
    </row>
    <row r="15" customFormat="false" ht="15" hidden="false" customHeight="false" outlineLevel="0" collapsed="false">
      <c r="B15" s="5" t="n">
        <v>2</v>
      </c>
      <c r="C15" s="5" t="s">
        <v>165</v>
      </c>
      <c r="D15" s="5" t="n">
        <v>3300</v>
      </c>
      <c r="E15" s="5" t="s">
        <v>34</v>
      </c>
      <c r="F15" s="20" t="n">
        <f aca="false">-((1-Inputs!$J$8)*((-Translation!L16)+(Inputs!$G$8*Inputs!$F$15))-(1-Inputs!$J$6)*(Inputs!$F$8*Inputs!$D$14))</f>
        <v>-220</v>
      </c>
    </row>
    <row r="16" customFormat="false" ht="15" hidden="false" customHeight="false" outlineLevel="0" collapsed="false">
      <c r="B16" s="5" t="n">
        <v>2</v>
      </c>
      <c r="C16" s="5" t="s">
        <v>165</v>
      </c>
      <c r="D16" s="5" t="n">
        <v>3200</v>
      </c>
      <c r="E16" s="5" t="s">
        <v>32</v>
      </c>
      <c r="F16" s="20" t="n">
        <f aca="false">(Inputs!$J$6*(Inputs!$F$8*Inputs!$F$14)-Inputs!$J$8*((-Translation!L16)+(Inputs!$G$8*Inputs!$F$15)))*(1-Inputs!$D$15/Inputs!$F$15)+Inputs!$J$6*((Inputs!$F$8*Inputs!$D$14)-(Inputs!$F$8*Inputs!$F$14))</f>
        <v>0</v>
      </c>
    </row>
    <row r="17" customFormat="false" ht="15" hidden="false" customHeight="false" outlineLevel="0" collapsed="false">
      <c r="B17" s="5" t="n">
        <v>3</v>
      </c>
      <c r="C17" s="5" t="s">
        <v>166</v>
      </c>
      <c r="D17" s="5" t="n">
        <v>3100</v>
      </c>
      <c r="E17" s="5" t="s">
        <v>154</v>
      </c>
      <c r="F17" s="20" t="n">
        <f aca="false">(1-Inputs!$J$8)*(-Translation!L17-(Inputs!$G$8*Inputs!$F$15))</f>
        <v>92</v>
      </c>
    </row>
    <row r="18" customFormat="false" ht="15" hidden="false" customHeight="false" outlineLevel="0" collapsed="false">
      <c r="B18" s="5" t="n">
        <v>3</v>
      </c>
      <c r="C18" s="5" t="s">
        <v>166</v>
      </c>
      <c r="D18" s="5" t="n">
        <v>3300</v>
      </c>
      <c r="E18" s="5" t="s">
        <v>34</v>
      </c>
      <c r="F18" s="20" t="n">
        <f aca="false">-(1-Inputs!$J$8)*(-Translation!L17-(Inputs!$G$8*Inputs!$F$15))</f>
        <v>-92</v>
      </c>
    </row>
    <row r="19" customFormat="false" ht="15" hidden="false" customHeight="false" outlineLevel="0" collapsed="false">
      <c r="B19" s="5" t="n">
        <v>3</v>
      </c>
      <c r="C19" s="5" t="s">
        <v>166</v>
      </c>
      <c r="D19" s="5" t="n">
        <v>3200</v>
      </c>
      <c r="E19" s="5" t="s">
        <v>32</v>
      </c>
      <c r="F19" s="20" t="n">
        <f aca="false">-(1-Inputs!$J$8)*Translation!L26</f>
        <v>-6.14000000000002</v>
      </c>
    </row>
    <row r="20" customFormat="false" ht="15" hidden="false" customHeight="false" outlineLevel="0" collapsed="false">
      <c r="B20" s="5" t="n">
        <v>3</v>
      </c>
      <c r="C20" s="5" t="s">
        <v>166</v>
      </c>
      <c r="D20" s="5" t="n">
        <v>3300</v>
      </c>
      <c r="E20" s="5" t="s">
        <v>34</v>
      </c>
      <c r="F20" s="20" t="n">
        <f aca="false">(1-Inputs!$J$8)*Translation!L26</f>
        <v>6.14000000000002</v>
      </c>
    </row>
    <row r="21" customFormat="false" ht="15" hidden="false" customHeight="false" outlineLevel="0" collapsed="false">
      <c r="B21" s="5" t="n">
        <v>4</v>
      </c>
      <c r="C21" s="5" t="s">
        <v>167</v>
      </c>
      <c r="D21" s="5" t="n">
        <v>3000</v>
      </c>
      <c r="E21" s="5" t="s">
        <v>30</v>
      </c>
      <c r="F21" s="20" t="n">
        <f aca="false">(-Translation!O16)</f>
        <v>625</v>
      </c>
    </row>
    <row r="22" customFormat="false" ht="15" hidden="false" customHeight="false" outlineLevel="0" collapsed="false">
      <c r="B22" s="5" t="n">
        <v>4</v>
      </c>
      <c r="C22" s="5" t="s">
        <v>167</v>
      </c>
      <c r="D22" s="5" t="n">
        <v>3100</v>
      </c>
      <c r="E22" s="5" t="s">
        <v>154</v>
      </c>
      <c r="F22" s="20" t="n">
        <f aca="false">(Inputs!$G$9*Inputs!$F$17)</f>
        <v>125</v>
      </c>
    </row>
    <row r="23" customFormat="false" ht="15" hidden="false" customHeight="false" outlineLevel="0" collapsed="false">
      <c r="B23" s="5" t="n">
        <v>4</v>
      </c>
      <c r="C23" s="5" t="s">
        <v>167</v>
      </c>
      <c r="D23" s="5" t="n">
        <v>1700</v>
      </c>
      <c r="E23" s="5" t="s">
        <v>20</v>
      </c>
      <c r="F23" s="20" t="n">
        <f aca="false">(Inputs!$J$7*(Inputs!$F$9*Inputs!$F$14)-Inputs!$J$9*((-Translation!O16)+(Inputs!$G$9*Inputs!$F$17)))*Inputs!$D$17/Inputs!$F$17</f>
        <v>76.2</v>
      </c>
    </row>
    <row r="24" customFormat="false" ht="15" hidden="false" customHeight="false" outlineLevel="0" collapsed="false">
      <c r="B24" s="5" t="n">
        <v>4</v>
      </c>
      <c r="C24" s="5" t="s">
        <v>167</v>
      </c>
      <c r="D24" s="5" t="n">
        <v>1600</v>
      </c>
      <c r="E24" s="5" t="s">
        <v>151</v>
      </c>
      <c r="F24" s="20" t="n">
        <f aca="false">-(Inputs!$F$9*Inputs!$D$14)</f>
        <v>-600</v>
      </c>
    </row>
    <row r="25" customFormat="false" ht="15" hidden="false" customHeight="false" outlineLevel="0" collapsed="false">
      <c r="B25" s="5" t="n">
        <v>4</v>
      </c>
      <c r="C25" s="5" t="s">
        <v>167</v>
      </c>
      <c r="D25" s="5" t="n">
        <v>3300</v>
      </c>
      <c r="E25" s="5" t="s">
        <v>34</v>
      </c>
      <c r="F25" s="20" t="n">
        <f aca="false">-((1-Inputs!$J$9)*((-Translation!O16)+(Inputs!$G$9*Inputs!$F$17))-(1-Inputs!$J$7)*(Inputs!$F$9*Inputs!$D$14))</f>
        <v>-225</v>
      </c>
    </row>
    <row r="26" customFormat="false" ht="15" hidden="false" customHeight="false" outlineLevel="0" collapsed="false">
      <c r="B26" s="5" t="n">
        <v>4</v>
      </c>
      <c r="C26" s="5" t="s">
        <v>167</v>
      </c>
      <c r="D26" s="5" t="n">
        <v>3200</v>
      </c>
      <c r="E26" s="5" t="s">
        <v>32</v>
      </c>
      <c r="F26" s="20" t="n">
        <f aca="false">(Inputs!$J$7*(Inputs!$F$9*Inputs!$F$14)-Inputs!$J$9*((-Translation!O16)+(Inputs!$G$9*Inputs!$F$17)))*(1-Inputs!$D$17/Inputs!$F$17)+Inputs!$J$7*((Inputs!$F$9*Inputs!$D$14)-(Inputs!$F$9*Inputs!$F$14))</f>
        <v>-1.2</v>
      </c>
    </row>
    <row r="27" customFormat="false" ht="15" hidden="false" customHeight="false" outlineLevel="0" collapsed="false">
      <c r="B27" s="5" t="n">
        <v>5</v>
      </c>
      <c r="C27" s="5" t="s">
        <v>168</v>
      </c>
      <c r="D27" s="5" t="n">
        <v>3100</v>
      </c>
      <c r="E27" s="5" t="s">
        <v>154</v>
      </c>
      <c r="F27" s="20" t="n">
        <f aca="false">(1-Inputs!$J$9)*(-Translation!O17-(Inputs!$G$9*Inputs!$F$17))</f>
        <v>75.6</v>
      </c>
    </row>
    <row r="28" customFormat="false" ht="15" hidden="false" customHeight="false" outlineLevel="0" collapsed="false">
      <c r="B28" s="5" t="n">
        <v>5</v>
      </c>
      <c r="C28" s="5" t="s">
        <v>168</v>
      </c>
      <c r="D28" s="5" t="n">
        <v>3300</v>
      </c>
      <c r="E28" s="5" t="s">
        <v>34</v>
      </c>
      <c r="F28" s="20" t="n">
        <f aca="false">-(1-Inputs!$J$9)*(-Translation!O17-(Inputs!$G$9*Inputs!$F$17))</f>
        <v>-75.6</v>
      </c>
    </row>
    <row r="29" customFormat="false" ht="15" hidden="false" customHeight="false" outlineLevel="0" collapsed="false">
      <c r="B29" s="5" t="n">
        <v>5</v>
      </c>
      <c r="C29" s="5" t="s">
        <v>168</v>
      </c>
      <c r="D29" s="5" t="n">
        <v>3200</v>
      </c>
      <c r="E29" s="5" t="s">
        <v>32</v>
      </c>
      <c r="F29" s="20" t="n">
        <f aca="false">-(1-Inputs!$J$9)*Translation!O26</f>
        <v>3.57</v>
      </c>
    </row>
    <row r="30" customFormat="false" ht="15" hidden="false" customHeight="false" outlineLevel="0" collapsed="false">
      <c r="B30" s="5" t="n">
        <v>5</v>
      </c>
      <c r="C30" s="5" t="s">
        <v>168</v>
      </c>
      <c r="D30" s="5" t="n">
        <v>3300</v>
      </c>
      <c r="E30" s="5" t="s">
        <v>34</v>
      </c>
      <c r="F30" s="20" t="n">
        <f aca="false">(1-Inputs!$J$9)*Translation!O26</f>
        <v>-3.57</v>
      </c>
    </row>
    <row r="31" customFormat="false" ht="15" hidden="false" customHeight="false" outlineLevel="0" collapsed="false">
      <c r="B31" s="5" t="n">
        <v>6</v>
      </c>
      <c r="C31" s="5" t="s">
        <v>169</v>
      </c>
      <c r="D31" s="5" t="n">
        <v>3000</v>
      </c>
      <c r="E31" s="5" t="s">
        <v>30</v>
      </c>
      <c r="F31" s="20" t="n">
        <f aca="false">(-Translation!R16)</f>
        <v>440</v>
      </c>
    </row>
    <row r="32" customFormat="false" ht="15" hidden="false" customHeight="false" outlineLevel="0" collapsed="false">
      <c r="B32" s="5" t="n">
        <v>6</v>
      </c>
      <c r="C32" s="5" t="s">
        <v>169</v>
      </c>
      <c r="D32" s="5" t="n">
        <v>3100</v>
      </c>
      <c r="E32" s="5" t="s">
        <v>154</v>
      </c>
      <c r="F32" s="20" t="n">
        <f aca="false">(Inputs!$G$10*Inputs!$F$15)</f>
        <v>110</v>
      </c>
    </row>
    <row r="33" customFormat="false" ht="15" hidden="false" customHeight="false" outlineLevel="0" collapsed="false">
      <c r="B33" s="5" t="n">
        <v>6</v>
      </c>
      <c r="C33" s="5" t="s">
        <v>169</v>
      </c>
      <c r="D33" s="5" t="n">
        <v>1700</v>
      </c>
      <c r="E33" s="5" t="s">
        <v>20</v>
      </c>
      <c r="F33" s="20" t="n">
        <f aca="false">(Inputs!$J$8*(Inputs!$F$10*Inputs!$F$15)-Inputs!$J$10*((-Translation!R16)+(Inputs!$G$10*Inputs!$F$15)))*Inputs!$D$15/Inputs!$F$15</f>
        <v>64.7999999999999</v>
      </c>
    </row>
    <row r="34" customFormat="false" ht="15" hidden="false" customHeight="false" outlineLevel="0" collapsed="false">
      <c r="B34" s="5" t="n">
        <v>6</v>
      </c>
      <c r="C34" s="5" t="s">
        <v>169</v>
      </c>
      <c r="D34" s="5" t="n">
        <v>1600</v>
      </c>
      <c r="E34" s="5" t="s">
        <v>151</v>
      </c>
      <c r="F34" s="20" t="n">
        <f aca="false">-(Inputs!$F$10*Inputs!$D$15)</f>
        <v>-486</v>
      </c>
    </row>
    <row r="35" customFormat="false" ht="15" hidden="false" customHeight="false" outlineLevel="0" collapsed="false">
      <c r="B35" s="5" t="n">
        <v>6</v>
      </c>
      <c r="C35" s="5" t="s">
        <v>169</v>
      </c>
      <c r="D35" s="5" t="n">
        <v>3300</v>
      </c>
      <c r="E35" s="5" t="s">
        <v>34</v>
      </c>
      <c r="F35" s="20" t="n">
        <f aca="false">-((1-Inputs!$J$10)*((-Translation!R16)+(Inputs!$G$10*Inputs!$F$15))-(1-Inputs!$J$8)*(Inputs!$F$10*Inputs!$D$15))</f>
        <v>-122.8</v>
      </c>
    </row>
    <row r="36" customFormat="false" ht="15" hidden="false" customHeight="false" outlineLevel="0" collapsed="false">
      <c r="B36" s="5" t="n">
        <v>6</v>
      </c>
      <c r="C36" s="5" t="s">
        <v>169</v>
      </c>
      <c r="D36" s="5" t="n">
        <v>3200</v>
      </c>
      <c r="E36" s="5" t="s">
        <v>32</v>
      </c>
      <c r="F36" s="20" t="n">
        <f aca="false">(Inputs!$J$8*(Inputs!$F$10*Inputs!$F$15)-Inputs!$J$10*((-Translation!R16)+(Inputs!$G$10*Inputs!$F$15)))*(1-Inputs!$D$15/Inputs!$F$15)+Inputs!$J$8*((Inputs!$F$10*Inputs!$D$15)-(Inputs!$F$10*Inputs!$F$15))</f>
        <v>-6</v>
      </c>
    </row>
    <row r="37" customFormat="false" ht="15" hidden="false" customHeight="false" outlineLevel="0" collapsed="false">
      <c r="B37" s="5" t="n">
        <v>7</v>
      </c>
      <c r="C37" s="5" t="s">
        <v>170</v>
      </c>
      <c r="D37" s="5" t="n">
        <v>3100</v>
      </c>
      <c r="E37" s="5" t="s">
        <v>154</v>
      </c>
      <c r="F37" s="20" t="n">
        <f aca="false">(1-Inputs!$J$10)*(-Translation!R17-(Inputs!$G$10*Inputs!$F$15))</f>
        <v>52.4</v>
      </c>
    </row>
    <row r="38" customFormat="false" ht="15" hidden="false" customHeight="false" outlineLevel="0" collapsed="false">
      <c r="B38" s="5" t="n">
        <v>7</v>
      </c>
      <c r="C38" s="5" t="s">
        <v>170</v>
      </c>
      <c r="D38" s="5" t="n">
        <v>3300</v>
      </c>
      <c r="E38" s="5" t="s">
        <v>34</v>
      </c>
      <c r="F38" s="20" t="n">
        <f aca="false">-(1-Inputs!$J$10)*(-Translation!R17-(Inputs!$G$10*Inputs!$F$15))</f>
        <v>-52.4</v>
      </c>
    </row>
    <row r="39" customFormat="false" ht="15" hidden="false" customHeight="false" outlineLevel="0" collapsed="false">
      <c r="B39" s="5" t="n">
        <v>7</v>
      </c>
      <c r="C39" s="5" t="s">
        <v>170</v>
      </c>
      <c r="D39" s="5" t="n">
        <v>3200</v>
      </c>
      <c r="E39" s="5" t="s">
        <v>32</v>
      </c>
      <c r="F39" s="20" t="n">
        <f aca="false">-(1-Inputs!$J$10)*Translation!R26</f>
        <v>-5.15999999999997</v>
      </c>
    </row>
    <row r="40" customFormat="false" ht="15" hidden="false" customHeight="false" outlineLevel="0" collapsed="false">
      <c r="B40" s="5" t="n">
        <v>7</v>
      </c>
      <c r="C40" s="5" t="s">
        <v>170</v>
      </c>
      <c r="D40" s="5" t="n">
        <v>3300</v>
      </c>
      <c r="E40" s="5" t="s">
        <v>34</v>
      </c>
      <c r="F40" s="20" t="n">
        <f aca="false">(1-Inputs!$J$10)*Translation!R26</f>
        <v>5.15999999999997</v>
      </c>
    </row>
    <row r="41" customFormat="false" ht="15" hidden="false" customHeight="false" outlineLevel="0" collapsed="false">
      <c r="B41" s="5" t="n">
        <v>8</v>
      </c>
      <c r="C41" s="5" t="s">
        <v>171</v>
      </c>
      <c r="D41" s="5" t="n">
        <v>2150</v>
      </c>
      <c r="E41" s="5" t="s">
        <v>153</v>
      </c>
      <c r="F41" s="20" t="n">
        <f aca="false">Inputs!$F$21</f>
        <v>150</v>
      </c>
    </row>
    <row r="42" customFormat="false" ht="15" hidden="false" customHeight="false" outlineLevel="0" collapsed="false">
      <c r="B42" s="5" t="n">
        <v>8</v>
      </c>
      <c r="C42" s="5" t="s">
        <v>171</v>
      </c>
      <c r="D42" s="5" t="n">
        <v>1150</v>
      </c>
      <c r="E42" s="5" t="s">
        <v>150</v>
      </c>
      <c r="F42" s="20" t="n">
        <f aca="false">-Inputs!$F$21</f>
        <v>-150</v>
      </c>
    </row>
    <row r="43" customFormat="false" ht="15" hidden="false" customHeight="false" outlineLevel="0" collapsed="false">
      <c r="B43" s="5" t="n">
        <v>9</v>
      </c>
      <c r="C43" s="5" t="s">
        <v>172</v>
      </c>
      <c r="D43" s="5" t="n">
        <v>2150</v>
      </c>
      <c r="E43" s="5" t="s">
        <v>153</v>
      </c>
      <c r="F43" s="20" t="n">
        <f aca="false">Inputs!$F$22</f>
        <v>540</v>
      </c>
    </row>
    <row r="44" customFormat="false" ht="15" hidden="false" customHeight="false" outlineLevel="0" collapsed="false">
      <c r="B44" s="5" t="n">
        <v>9</v>
      </c>
      <c r="C44" s="5" t="s">
        <v>172</v>
      </c>
      <c r="D44" s="5" t="n">
        <v>1150</v>
      </c>
      <c r="E44" s="5" t="s">
        <v>150</v>
      </c>
      <c r="F44" s="20" t="n">
        <f aca="false">-Inputs!$F$22</f>
        <v>-540</v>
      </c>
    </row>
    <row r="45" customFormat="false" ht="15" hidden="false" customHeight="false" outlineLevel="0" collapsed="false">
      <c r="B45" s="5" t="n">
        <v>10</v>
      </c>
      <c r="C45" s="5" t="s">
        <v>173</v>
      </c>
      <c r="D45" s="5" t="n">
        <v>4050</v>
      </c>
      <c r="E45" s="5" t="s">
        <v>155</v>
      </c>
      <c r="F45" s="20" t="n">
        <f aca="false">Inputs!$F$23</f>
        <v>800</v>
      </c>
    </row>
    <row r="46" customFormat="false" ht="15" hidden="false" customHeight="false" outlineLevel="0" collapsed="false">
      <c r="B46" s="5" t="n">
        <v>10</v>
      </c>
      <c r="C46" s="5" t="s">
        <v>173</v>
      </c>
      <c r="D46" s="5" t="n">
        <v>5050</v>
      </c>
      <c r="E46" s="5" t="s">
        <v>158</v>
      </c>
      <c r="F46" s="20" t="n">
        <f aca="false">-Inputs!$F$23</f>
        <v>-800</v>
      </c>
    </row>
    <row r="47" customFormat="false" ht="15" hidden="false" customHeight="false" outlineLevel="0" collapsed="false">
      <c r="B47" s="5" t="n">
        <v>11</v>
      </c>
      <c r="C47" s="5" t="s">
        <v>174</v>
      </c>
      <c r="D47" s="5" t="n">
        <v>5000</v>
      </c>
      <c r="E47" s="5" t="s">
        <v>5</v>
      </c>
      <c r="F47" s="20" t="n">
        <f aca="false">Inputs!$F$24</f>
        <v>50</v>
      </c>
    </row>
    <row r="48" customFormat="false" ht="15" hidden="false" customHeight="false" outlineLevel="0" collapsed="false">
      <c r="B48" s="5" t="n">
        <v>11</v>
      </c>
      <c r="C48" s="5" t="s">
        <v>174</v>
      </c>
      <c r="D48" s="5" t="n">
        <v>1200</v>
      </c>
      <c r="E48" s="5" t="s">
        <v>24</v>
      </c>
      <c r="F48" s="20" t="n">
        <f aca="false">-Inputs!$F$24</f>
        <v>-50</v>
      </c>
    </row>
    <row r="49" customFormat="false" ht="15" hidden="false" customHeight="false" outlineLevel="0" collapsed="false">
      <c r="B49" s="5" t="n">
        <v>12</v>
      </c>
      <c r="C49" s="5" t="s">
        <v>175</v>
      </c>
      <c r="D49" s="5" t="n">
        <v>1650</v>
      </c>
      <c r="E49" s="5" t="s">
        <v>152</v>
      </c>
      <c r="F49" s="20" t="n">
        <f aca="false">Associates!D25</f>
        <v>122.535</v>
      </c>
    </row>
    <row r="50" customFormat="false" ht="15" hidden="false" customHeight="false" outlineLevel="0" collapsed="false">
      <c r="B50" s="5" t="n">
        <v>12</v>
      </c>
      <c r="C50" s="5" t="s">
        <v>175</v>
      </c>
      <c r="D50" s="5" t="n">
        <v>3100</v>
      </c>
      <c r="E50" s="5" t="s">
        <v>154</v>
      </c>
      <c r="F50" s="20" t="n">
        <f aca="false">-Associates!D25</f>
        <v>-122.535</v>
      </c>
    </row>
    <row r="51" customFormat="false" ht="15" hidden="false" customHeight="false" outlineLevel="0" collapsed="false">
      <c r="B51" s="5" t="n">
        <v>13</v>
      </c>
      <c r="C51" s="5" t="s">
        <v>176</v>
      </c>
      <c r="D51" s="5" t="n">
        <v>1650</v>
      </c>
      <c r="E51" s="5" t="s">
        <v>152</v>
      </c>
      <c r="F51" s="20" t="n">
        <f aca="false">Associates!D27</f>
        <v>179.718</v>
      </c>
    </row>
    <row r="52" customFormat="false" ht="15" hidden="false" customHeight="false" outlineLevel="0" collapsed="false">
      <c r="B52" s="5" t="n">
        <v>13</v>
      </c>
      <c r="C52" s="5" t="s">
        <v>176</v>
      </c>
      <c r="D52" s="5" t="n">
        <v>4200</v>
      </c>
      <c r="E52" s="5" t="s">
        <v>157</v>
      </c>
      <c r="F52" s="20" t="n">
        <f aca="false">-Associates!D27</f>
        <v>-179.718</v>
      </c>
    </row>
    <row r="53" customFormat="false" ht="15" hidden="false" customHeight="false" outlineLevel="0" collapsed="false">
      <c r="B53" s="5" t="n">
        <v>14</v>
      </c>
      <c r="C53" s="5" t="s">
        <v>177</v>
      </c>
      <c r="D53" s="5" t="n">
        <v>4100</v>
      </c>
      <c r="E53" s="5" t="s">
        <v>156</v>
      </c>
      <c r="F53" s="20" t="n">
        <f aca="false">-Associates!D28</f>
        <v>81.69</v>
      </c>
    </row>
    <row r="54" customFormat="false" ht="15" hidden="false" customHeight="false" outlineLevel="0" collapsed="false">
      <c r="B54" s="5" t="n">
        <v>14</v>
      </c>
      <c r="C54" s="5" t="s">
        <v>177</v>
      </c>
      <c r="D54" s="5" t="n">
        <v>1650</v>
      </c>
      <c r="E54" s="5" t="s">
        <v>152</v>
      </c>
      <c r="F54" s="20" t="n">
        <f aca="false">Associates!D28</f>
        <v>-81.69</v>
      </c>
    </row>
    <row r="55" customFormat="false" ht="15" hidden="false" customHeight="false" outlineLevel="0" collapsed="false">
      <c r="B55" s="5" t="n">
        <v>15</v>
      </c>
      <c r="C55" s="5" t="s">
        <v>178</v>
      </c>
      <c r="D55" s="5" t="n">
        <v>5000</v>
      </c>
      <c r="E55" s="5" t="s">
        <v>5</v>
      </c>
      <c r="F55" s="20" t="n">
        <f aca="false">-Associates!D30</f>
        <v>12</v>
      </c>
    </row>
    <row r="56" customFormat="false" ht="15" hidden="false" customHeight="false" outlineLevel="0" collapsed="false">
      <c r="B56" s="5" t="n">
        <v>15</v>
      </c>
      <c r="C56" s="5" t="s">
        <v>178</v>
      </c>
      <c r="D56" s="5" t="n">
        <v>1650</v>
      </c>
      <c r="E56" s="5" t="s">
        <v>152</v>
      </c>
      <c r="F56" s="20" t="n">
        <f aca="false">Associates!D30</f>
        <v>-12</v>
      </c>
    </row>
    <row r="57" customFormat="false" ht="15" hidden="false" customHeight="false" outlineLevel="0" collapsed="false">
      <c r="B57" s="5" t="n">
        <v>16</v>
      </c>
      <c r="C57" s="5" t="s">
        <v>179</v>
      </c>
      <c r="D57" s="5" t="n">
        <v>1650</v>
      </c>
      <c r="E57" s="5" t="s">
        <v>152</v>
      </c>
      <c r="F57" s="20" t="n">
        <f aca="false">Associates!E25</f>
        <v>100</v>
      </c>
    </row>
    <row r="58" customFormat="false" ht="15" hidden="false" customHeight="false" outlineLevel="0" collapsed="false">
      <c r="B58" s="5" t="n">
        <v>16</v>
      </c>
      <c r="C58" s="5" t="s">
        <v>179</v>
      </c>
      <c r="D58" s="5" t="n">
        <v>3100</v>
      </c>
      <c r="E58" s="5" t="s">
        <v>154</v>
      </c>
      <c r="F58" s="20" t="n">
        <f aca="false">-Associates!E25</f>
        <v>-100</v>
      </c>
    </row>
    <row r="59" customFormat="false" ht="15" hidden="false" customHeight="false" outlineLevel="0" collapsed="false">
      <c r="B59" s="5" t="n">
        <v>17</v>
      </c>
      <c r="C59" s="5" t="s">
        <v>180</v>
      </c>
      <c r="D59" s="5" t="n">
        <v>1650</v>
      </c>
      <c r="E59" s="5" t="s">
        <v>152</v>
      </c>
      <c r="F59" s="20" t="n">
        <f aca="false">Associates!E27</f>
        <v>120</v>
      </c>
    </row>
    <row r="60" customFormat="false" ht="15" hidden="false" customHeight="false" outlineLevel="0" collapsed="false">
      <c r="B60" s="5" t="n">
        <v>17</v>
      </c>
      <c r="C60" s="5" t="s">
        <v>180</v>
      </c>
      <c r="D60" s="5" t="n">
        <v>4200</v>
      </c>
      <c r="E60" s="5" t="s">
        <v>157</v>
      </c>
      <c r="F60" s="20" t="n">
        <f aca="false">-Associates!E27</f>
        <v>-120</v>
      </c>
    </row>
    <row r="61" customFormat="false" ht="15" hidden="false" customHeight="false" outlineLevel="0" collapsed="false">
      <c r="B61" s="5" t="n">
        <v>18</v>
      </c>
      <c r="C61" s="5" t="s">
        <v>181</v>
      </c>
      <c r="D61" s="5" t="n">
        <v>4100</v>
      </c>
      <c r="E61" s="5" t="s">
        <v>156</v>
      </c>
      <c r="F61" s="20" t="n">
        <f aca="false">-Associates!E28</f>
        <v>50</v>
      </c>
    </row>
    <row r="62" customFormat="false" ht="15" hidden="false" customHeight="false" outlineLevel="0" collapsed="false">
      <c r="B62" s="5" t="n">
        <v>18</v>
      </c>
      <c r="C62" s="5" t="s">
        <v>181</v>
      </c>
      <c r="D62" s="5" t="n">
        <v>1650</v>
      </c>
      <c r="E62" s="5" t="s">
        <v>152</v>
      </c>
      <c r="F62" s="20" t="n">
        <f aca="false">Associates!E28</f>
        <v>-50</v>
      </c>
    </row>
    <row r="63" customFormat="false" ht="15" hidden="false" customHeight="false" outlineLevel="0" collapsed="false">
      <c r="B63" s="5" t="n">
        <v>19</v>
      </c>
      <c r="C63" s="5" t="s">
        <v>182</v>
      </c>
      <c r="D63" s="5" t="n">
        <v>4200</v>
      </c>
      <c r="E63" s="5" t="s">
        <v>157</v>
      </c>
      <c r="F63" s="20" t="n">
        <f aca="false">-Associates!E29</f>
        <v>40</v>
      </c>
    </row>
    <row r="64" customFormat="false" ht="15" hidden="false" customHeight="false" outlineLevel="0" collapsed="false">
      <c r="B64" s="5" t="n">
        <v>19</v>
      </c>
      <c r="C64" s="5" t="s">
        <v>182</v>
      </c>
      <c r="D64" s="5" t="n">
        <v>1650</v>
      </c>
      <c r="E64" s="5" t="s">
        <v>152</v>
      </c>
      <c r="F64" s="20" t="n">
        <f aca="false">Associates!E29</f>
        <v>-40</v>
      </c>
    </row>
    <row r="65" customFormat="false" ht="15" hidden="false" customHeight="false" outlineLevel="0" collapsed="false">
      <c r="E65" s="7" t="s">
        <v>183</v>
      </c>
      <c r="F65" s="8" t="n">
        <f aca="false">ROUND(SUM(F6:F64),2)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2"/>
    <col collapsed="false" customWidth="true" hidden="false" outlineLevel="0" max="6" min="4" style="0" width="20"/>
  </cols>
  <sheetData>
    <row r="1" customFormat="false" ht="17.35" hidden="false" customHeight="false" outlineLevel="0" collapsed="false">
      <c r="B1" s="1" t="s">
        <v>0</v>
      </c>
    </row>
    <row r="2" customFormat="false" ht="15" hidden="false" customHeight="false" outlineLevel="0" collapsed="false">
      <c r="B2" s="2" t="s">
        <v>184</v>
      </c>
    </row>
    <row r="3" customFormat="false" ht="15" hidden="false" customHeight="false" outlineLevel="0" collapsed="false">
      <c r="B3" s="3" t="s">
        <v>2</v>
      </c>
    </row>
    <row r="5" customFormat="false" ht="15" hidden="false" customHeight="false" outlineLevel="0" collapsed="false">
      <c r="B5" s="4"/>
      <c r="C5" s="4"/>
      <c r="D5" s="19" t="s">
        <v>185</v>
      </c>
      <c r="E5" s="19" t="s">
        <v>186</v>
      </c>
      <c r="F5" s="19" t="s">
        <v>187</v>
      </c>
    </row>
    <row r="6" customFormat="false" ht="15" hidden="false" customHeight="false" outlineLevel="0" collapsed="false">
      <c r="B6" s="5" t="s">
        <v>188</v>
      </c>
      <c r="D6" s="22" t="s">
        <v>71</v>
      </c>
      <c r="E6" s="22" t="s">
        <v>76</v>
      </c>
    </row>
    <row r="7" customFormat="false" ht="15" hidden="false" customHeight="false" outlineLevel="0" collapsed="false">
      <c r="B7" s="5" t="s">
        <v>189</v>
      </c>
      <c r="D7" s="22" t="s">
        <v>190</v>
      </c>
      <c r="E7" s="22" t="s">
        <v>191</v>
      </c>
    </row>
    <row r="8" customFormat="false" ht="15" hidden="false" customHeight="false" outlineLevel="0" collapsed="false">
      <c r="B8" s="5" t="s">
        <v>46</v>
      </c>
      <c r="D8" s="23" t="n">
        <v>0.3</v>
      </c>
      <c r="E8" s="23" t="n">
        <v>0.25</v>
      </c>
    </row>
    <row r="9" customFormat="false" ht="15" hidden="false" customHeight="false" outlineLevel="0" collapsed="false">
      <c r="B9" s="5" t="s">
        <v>192</v>
      </c>
      <c r="D9" s="24" t="n">
        <v>900</v>
      </c>
      <c r="E9" s="24" t="n">
        <v>600</v>
      </c>
      <c r="F9" s="21" t="n">
        <f aca="false">SUM(D9:E9)</f>
        <v>1500</v>
      </c>
    </row>
    <row r="10" customFormat="false" ht="15" hidden="false" customHeight="false" outlineLevel="0" collapsed="false">
      <c r="B10" s="5" t="s">
        <v>193</v>
      </c>
      <c r="D10" s="24" t="n">
        <v>9000</v>
      </c>
      <c r="E10" s="24" t="n">
        <v>2000</v>
      </c>
    </row>
    <row r="11" customFormat="false" ht="15" hidden="false" customHeight="false" outlineLevel="0" collapsed="false">
      <c r="B11" s="5" t="s">
        <v>194</v>
      </c>
      <c r="D11" s="24" t="n">
        <v>3000</v>
      </c>
      <c r="E11" s="24" t="n">
        <v>800</v>
      </c>
    </row>
    <row r="12" customFormat="false" ht="15" hidden="false" customHeight="false" outlineLevel="0" collapsed="false">
      <c r="B12" s="5" t="s">
        <v>195</v>
      </c>
      <c r="D12" s="24" t="n">
        <v>4500</v>
      </c>
      <c r="E12" s="24" t="n">
        <v>1200</v>
      </c>
    </row>
    <row r="13" customFormat="false" ht="15" hidden="false" customHeight="false" outlineLevel="0" collapsed="false">
      <c r="B13" s="5" t="s">
        <v>196</v>
      </c>
      <c r="D13" s="24" t="n">
        <v>2200</v>
      </c>
      <c r="E13" s="24" t="n">
        <v>480</v>
      </c>
    </row>
    <row r="14" customFormat="false" ht="15" hidden="false" customHeight="false" outlineLevel="0" collapsed="false">
      <c r="B14" s="5" t="s">
        <v>197</v>
      </c>
      <c r="D14" s="24" t="n">
        <v>1000</v>
      </c>
      <c r="E14" s="24" t="n">
        <v>200</v>
      </c>
    </row>
    <row r="15" customFormat="false" ht="15" hidden="false" customHeight="false" outlineLevel="0" collapsed="false">
      <c r="B15" s="5" t="s">
        <v>198</v>
      </c>
      <c r="D15" s="24" t="n">
        <v>0</v>
      </c>
      <c r="E15" s="24" t="n">
        <v>40</v>
      </c>
      <c r="F15" s="21" t="n">
        <f aca="false">SUM(D15:E15)</f>
        <v>40</v>
      </c>
    </row>
    <row r="16" customFormat="false" ht="15" hidden="false" customHeight="false" outlineLevel="0" collapsed="false">
      <c r="B16" s="5" t="s">
        <v>199</v>
      </c>
      <c r="D16" s="25" t="n">
        <f aca="false">Inputs!$F$16</f>
        <v>0.2723</v>
      </c>
      <c r="E16" s="25" t="n">
        <f aca="false">Inputs!$F$14</f>
        <v>1</v>
      </c>
    </row>
    <row r="17" customFormat="false" ht="15" hidden="false" customHeight="false" outlineLevel="0" collapsed="false">
      <c r="B17" s="5" t="s">
        <v>200</v>
      </c>
      <c r="D17" s="25" t="n">
        <f aca="false">Inputs!$E$16</f>
        <v>0.2723</v>
      </c>
      <c r="E17" s="25" t="n">
        <f aca="false">Inputs!$E$14</f>
        <v>1</v>
      </c>
    </row>
    <row r="18" customFormat="false" ht="15" hidden="false" customHeight="false" outlineLevel="0" collapsed="false">
      <c r="B18" s="5" t="s">
        <v>201</v>
      </c>
      <c r="D18" s="25" t="n">
        <f aca="false">Inputs!$D$16</f>
        <v>0.2723</v>
      </c>
      <c r="E18" s="25" t="n">
        <f aca="false">Inputs!$D$14</f>
        <v>1</v>
      </c>
    </row>
    <row r="20" customFormat="false" ht="15" hidden="false" customHeight="false" outlineLevel="0" collapsed="false">
      <c r="B20" s="7" t="s">
        <v>202</v>
      </c>
    </row>
    <row r="21" customFormat="false" ht="15" hidden="false" customHeight="false" outlineLevel="0" collapsed="false">
      <c r="B21" s="5" t="s">
        <v>203</v>
      </c>
      <c r="D21" s="26" t="n">
        <f aca="false">D8*D10*D16</f>
        <v>735.21</v>
      </c>
      <c r="E21" s="26" t="n">
        <f aca="false">E8*E10*E16</f>
        <v>500</v>
      </c>
      <c r="F21" s="21" t="n">
        <f aca="false">SUM(D21:E21)</f>
        <v>1235.21</v>
      </c>
    </row>
    <row r="22" customFormat="false" ht="15" hidden="false" customHeight="false" outlineLevel="0" collapsed="false">
      <c r="B22" s="5" t="s">
        <v>204</v>
      </c>
      <c r="D22" s="26" t="n">
        <f aca="false">D9-D21</f>
        <v>164.79</v>
      </c>
      <c r="E22" s="26" t="n">
        <f aca="false">E9-E21</f>
        <v>100</v>
      </c>
      <c r="F22" s="21" t="n">
        <f aca="false">SUM(D22:E22)</f>
        <v>264.79</v>
      </c>
    </row>
    <row r="24" customFormat="false" ht="15" hidden="false" customHeight="false" outlineLevel="0" collapsed="false">
      <c r="B24" s="5" t="s">
        <v>205</v>
      </c>
      <c r="D24" s="26" t="n">
        <f aca="false">D9</f>
        <v>900</v>
      </c>
      <c r="E24" s="26" t="n">
        <f aca="false">E9</f>
        <v>600</v>
      </c>
      <c r="F24" s="21" t="n">
        <f aca="false">SUM(D24:E24)</f>
        <v>1500</v>
      </c>
    </row>
    <row r="25" customFormat="false" ht="15" hidden="false" customHeight="false" outlineLevel="0" collapsed="false">
      <c r="B25" s="5" t="s">
        <v>206</v>
      </c>
      <c r="D25" s="26" t="n">
        <f aca="false">D8*(D12-D11)*D16</f>
        <v>122.535</v>
      </c>
      <c r="E25" s="26" t="n">
        <f aca="false">E8*(E12-E11)*E16</f>
        <v>100</v>
      </c>
      <c r="F25" s="21" t="n">
        <f aca="false">SUM(D25:E25)</f>
        <v>222.535</v>
      </c>
    </row>
    <row r="26" customFormat="false" ht="15" hidden="false" customHeight="false" outlineLevel="0" collapsed="false">
      <c r="B26" s="7" t="s">
        <v>207</v>
      </c>
      <c r="D26" s="27" t="n">
        <f aca="false">D24+D25</f>
        <v>1022.535</v>
      </c>
      <c r="E26" s="27" t="n">
        <f aca="false">E24+E25</f>
        <v>700</v>
      </c>
      <c r="F26" s="21" t="n">
        <f aca="false">SUM(D26:E26)</f>
        <v>1722.535</v>
      </c>
    </row>
    <row r="27" customFormat="false" ht="15" hidden="false" customHeight="false" outlineLevel="0" collapsed="false">
      <c r="B27" s="5" t="s">
        <v>208</v>
      </c>
      <c r="D27" s="26" t="n">
        <f aca="false">D8*D13*D17</f>
        <v>179.718</v>
      </c>
      <c r="E27" s="26" t="n">
        <f aca="false">E8*E13*E17</f>
        <v>120</v>
      </c>
      <c r="F27" s="21" t="n">
        <f aca="false">SUM(D27:E27)</f>
        <v>299.718</v>
      </c>
    </row>
    <row r="28" customFormat="false" ht="15" hidden="false" customHeight="false" outlineLevel="0" collapsed="false">
      <c r="B28" s="5" t="s">
        <v>209</v>
      </c>
      <c r="D28" s="26" t="n">
        <f aca="false">-D8*D14*D17</f>
        <v>-81.69</v>
      </c>
      <c r="E28" s="26" t="n">
        <f aca="false">-E8*E14*E17</f>
        <v>-50</v>
      </c>
      <c r="F28" s="21" t="n">
        <f aca="false">SUM(D28:E28)</f>
        <v>-131.69</v>
      </c>
    </row>
    <row r="29" customFormat="false" ht="15" hidden="false" customHeight="false" outlineLevel="0" collapsed="false">
      <c r="B29" s="5" t="s">
        <v>210</v>
      </c>
      <c r="D29" s="26" t="n">
        <f aca="false">-D15</f>
        <v>-0</v>
      </c>
      <c r="E29" s="26" t="n">
        <f aca="false">-E15</f>
        <v>-40</v>
      </c>
      <c r="F29" s="21" t="n">
        <f aca="false">SUM(D29:E29)</f>
        <v>-40</v>
      </c>
    </row>
    <row r="30" customFormat="false" ht="15" hidden="false" customHeight="false" outlineLevel="0" collapsed="false">
      <c r="B30" s="5" t="s">
        <v>211</v>
      </c>
      <c r="D30" s="26" t="n">
        <f aca="false">-D8*SUMIFS(Inputs!$F$21:$F$25,Inputs!$B$21:$B$25,"associate_unrealised_profit",Inputs!$E$21:$E$25,"ASSOC1")</f>
        <v>-12</v>
      </c>
      <c r="E30" s="26" t="n">
        <f aca="false">-E8*SUMIFS(Inputs!$F$21:$F$25,Inputs!$B$21:$B$25,"associate_unrealised_profit",Inputs!$E$21:$E$25,"ASSOC2")</f>
        <v>-0</v>
      </c>
      <c r="F30" s="21" t="n">
        <f aca="false">SUM(D30:E30)</f>
        <v>-12</v>
      </c>
    </row>
    <row r="31" customFormat="false" ht="15" hidden="false" customHeight="false" outlineLevel="0" collapsed="false">
      <c r="B31" s="7" t="s">
        <v>212</v>
      </c>
      <c r="D31" s="28" t="n">
        <f aca="false">SUM(D26:D30)</f>
        <v>1108.563</v>
      </c>
      <c r="E31" s="28" t="n">
        <f aca="false">SUM(E26:E30)</f>
        <v>730</v>
      </c>
      <c r="F31" s="21" t="n">
        <f aca="false">SUM(D31:E31)</f>
        <v>1838.563</v>
      </c>
    </row>
    <row r="33" customFormat="false" ht="15" hidden="false" customHeight="false" outlineLevel="0" collapsed="false">
      <c r="B33" s="7" t="s">
        <v>213</v>
      </c>
    </row>
    <row r="34" customFormat="false" ht="15" hidden="false" customHeight="false" outlineLevel="0" collapsed="false">
      <c r="B34" s="5" t="s">
        <v>214</v>
      </c>
      <c r="D34" s="26" t="n">
        <f aca="false">D10+D12-D11+D13-D14</f>
        <v>11700</v>
      </c>
      <c r="E34" s="26" t="n">
        <f aca="false">E10+E12-E11+E13-E14</f>
        <v>2680</v>
      </c>
    </row>
    <row r="35" customFormat="false" ht="15" hidden="false" customHeight="false" outlineLevel="0" collapsed="false">
      <c r="B35" s="5" t="s">
        <v>215</v>
      </c>
      <c r="D35" s="26" t="n">
        <f aca="false">D8*D34*D18</f>
        <v>955.773</v>
      </c>
      <c r="E35" s="26" t="n">
        <f aca="false">E8*E34*E18</f>
        <v>670</v>
      </c>
      <c r="F35" s="21" t="n">
        <f aca="false">SUM(D35:E35)</f>
        <v>1625.773</v>
      </c>
    </row>
    <row r="36" customFormat="false" ht="15" hidden="false" customHeight="false" outlineLevel="0" collapsed="false">
      <c r="B36" s="5" t="s">
        <v>20</v>
      </c>
      <c r="D36" s="26" t="n">
        <f aca="false">D22</f>
        <v>164.79</v>
      </c>
      <c r="E36" s="26" t="n">
        <f aca="false">E22</f>
        <v>100</v>
      </c>
      <c r="F36" s="21" t="n">
        <f aca="false">SUM(D36:E36)</f>
        <v>264.79</v>
      </c>
    </row>
    <row r="37" customFormat="false" ht="15" hidden="false" customHeight="false" outlineLevel="0" collapsed="false">
      <c r="B37" s="5" t="s">
        <v>210</v>
      </c>
      <c r="D37" s="26" t="n">
        <f aca="false">D29</f>
        <v>-0</v>
      </c>
      <c r="E37" s="26" t="n">
        <f aca="false">E29</f>
        <v>-40</v>
      </c>
      <c r="F37" s="21" t="n">
        <f aca="false">SUM(D37:E37)</f>
        <v>-40</v>
      </c>
    </row>
    <row r="38" customFormat="false" ht="15" hidden="false" customHeight="false" outlineLevel="0" collapsed="false">
      <c r="B38" s="5" t="s">
        <v>216</v>
      </c>
      <c r="D38" s="26" t="n">
        <f aca="false">D30</f>
        <v>-12</v>
      </c>
      <c r="E38" s="26" t="n">
        <f aca="false">E30</f>
        <v>-0</v>
      </c>
      <c r="F38" s="21" t="n">
        <f aca="false">SUM(D38:E38)</f>
        <v>-12</v>
      </c>
    </row>
    <row r="39" customFormat="false" ht="15" hidden="false" customHeight="false" outlineLevel="0" collapsed="false">
      <c r="B39" s="5" t="s">
        <v>217</v>
      </c>
      <c r="D39" s="26" t="n">
        <f aca="false">D31-SUM(D35:D38)</f>
        <v>0</v>
      </c>
      <c r="E39" s="26" t="n">
        <f aca="false">E31-SUM(E35:E38)</f>
        <v>0</v>
      </c>
      <c r="F39" s="21" t="n">
        <f aca="false">SUM(D39:E39)</f>
        <v>0</v>
      </c>
    </row>
    <row r="40" customFormat="false" ht="15" hidden="false" customHeight="false" outlineLevel="0" collapsed="false">
      <c r="B40" s="7" t="s">
        <v>212</v>
      </c>
      <c r="D40" s="28" t="n">
        <f aca="false">SUM(D35:D39)</f>
        <v>1108.563</v>
      </c>
      <c r="E40" s="28" t="n">
        <f aca="false">SUM(E35:E39)</f>
        <v>730</v>
      </c>
      <c r="F40" s="21" t="n">
        <f aca="false">SUM(D40:E40)</f>
        <v>1838.563</v>
      </c>
    </row>
    <row r="42" customFormat="false" ht="15" hidden="false" customHeight="false" outlineLevel="0" collapsed="false">
      <c r="B42" s="5" t="s">
        <v>218</v>
      </c>
      <c r="D42" s="26" t="n">
        <f aca="false">D8*SUMIFS(Inputs!$F$21:$F$25,Inputs!$B$21:$B$25,"associate_unrealised_profit",Inputs!$D$21:$D$25,"ASSOC1")</f>
        <v>0</v>
      </c>
      <c r="E42" s="26" t="n">
        <f aca="false">E8*SUMIFS(Inputs!$F$21:$F$25,Inputs!$B$21:$B$25,"associate_unrealised_profit",Inputs!$D$21:$D$25,"ASSOC2")</f>
        <v>0</v>
      </c>
      <c r="F42" s="21" t="n">
        <f aca="false">SUM(D42:E42)</f>
        <v>0</v>
      </c>
    </row>
    <row r="44" customFormat="false" ht="54" hidden="false" customHeight="true" outlineLevel="0" collapsed="false">
      <c r="B44" s="29" t="s">
        <v>219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11"/>
    <col collapsed="false" customWidth="true" hidden="false" outlineLevel="0" max="5" min="5" style="0" width="9"/>
    <col collapsed="false" customWidth="true" hidden="false" outlineLevel="0" max="7" min="6" style="0" width="11"/>
    <col collapsed="false" customWidth="true" hidden="false" outlineLevel="0" max="8" min="8" style="0" width="9"/>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16" min="15" style="0" width="11"/>
    <col collapsed="false" customWidth="true" hidden="false" outlineLevel="0" max="17" min="17" style="0" width="9"/>
    <col collapsed="false" customWidth="true" hidden="false" outlineLevel="0" max="18" min="18" style="0" width="11"/>
  </cols>
  <sheetData>
    <row r="1" customFormat="false" ht="17.35" hidden="false" customHeight="false" outlineLevel="0" collapsed="false">
      <c r="B1" s="1" t="s">
        <v>0</v>
      </c>
    </row>
    <row r="2" customFormat="false" ht="15" hidden="false" customHeight="false" outlineLevel="0" collapsed="false">
      <c r="B2" s="2" t="s">
        <v>220</v>
      </c>
    </row>
    <row r="3" customFormat="false" ht="15" hidden="false" customHeight="false" outlineLevel="0" collapsed="false">
      <c r="B3" s="3" t="s">
        <v>2</v>
      </c>
    </row>
    <row r="5" customFormat="false" ht="23.85" hidden="false" customHeight="false" outlineLevel="0" collapsed="false">
      <c r="B5" s="4" t="s">
        <v>140</v>
      </c>
      <c r="C5" s="4" t="s">
        <v>141</v>
      </c>
      <c r="D5" s="19" t="s">
        <v>221</v>
      </c>
      <c r="E5" s="19" t="s">
        <v>222</v>
      </c>
      <c r="F5" s="19" t="s">
        <v>223</v>
      </c>
      <c r="G5" s="19" t="s">
        <v>224</v>
      </c>
      <c r="H5" s="19" t="s">
        <v>225</v>
      </c>
      <c r="I5" s="19" t="s">
        <v>226</v>
      </c>
      <c r="J5" s="19" t="s">
        <v>227</v>
      </c>
      <c r="K5" s="19" t="s">
        <v>228</v>
      </c>
      <c r="L5" s="19" t="s">
        <v>229</v>
      </c>
      <c r="M5" s="19" t="s">
        <v>230</v>
      </c>
      <c r="N5" s="19" t="s">
        <v>231</v>
      </c>
      <c r="O5" s="19" t="s">
        <v>232</v>
      </c>
      <c r="P5" s="19" t="s">
        <v>233</v>
      </c>
      <c r="Q5" s="19" t="s">
        <v>234</v>
      </c>
      <c r="R5" s="19" t="s">
        <v>235</v>
      </c>
    </row>
    <row r="6" customFormat="false" ht="15" hidden="false" customHeight="false" outlineLevel="0" collapsed="false">
      <c r="B6" s="5" t="n">
        <v>1000</v>
      </c>
      <c r="C6" s="5" t="s">
        <v>27</v>
      </c>
      <c r="D6" s="20" t="n">
        <f aca="false">'Trial Balances'!E6</f>
        <v>1331.69</v>
      </c>
      <c r="E6" s="30" t="n">
        <f aca="false">Inputs!$D$14</f>
        <v>1</v>
      </c>
      <c r="F6" s="6" t="n">
        <f aca="false">D6*E6</f>
        <v>1331.69</v>
      </c>
      <c r="G6" s="20" t="n">
        <f aca="false">'Trial Balances'!F6</f>
        <v>600</v>
      </c>
      <c r="H6" s="30" t="n">
        <f aca="false">Inputs!$D$14</f>
        <v>1</v>
      </c>
      <c r="I6" s="6" t="n">
        <f aca="false">G6*H6</f>
        <v>600</v>
      </c>
      <c r="J6" s="20" t="n">
        <f aca="false">'Trial Balances'!G6</f>
        <v>400</v>
      </c>
      <c r="K6" s="30" t="n">
        <f aca="false">Inputs!$D$15</f>
        <v>1.08</v>
      </c>
      <c r="L6" s="6" t="n">
        <f aca="false">J6*K6</f>
        <v>432</v>
      </c>
      <c r="M6" s="20" t="n">
        <f aca="false">'Trial Balances'!H6</f>
        <v>160</v>
      </c>
      <c r="N6" s="30" t="n">
        <f aca="false">Inputs!$D$17</f>
        <v>1.27</v>
      </c>
      <c r="O6" s="6" t="n">
        <f aca="false">M6*N6</f>
        <v>203.2</v>
      </c>
      <c r="P6" s="20" t="n">
        <f aca="false">'Trial Balances'!I6</f>
        <v>120</v>
      </c>
      <c r="Q6" s="30" t="n">
        <f aca="false">Inputs!$D$15</f>
        <v>1.08</v>
      </c>
      <c r="R6" s="6" t="n">
        <f aca="false">P6*Q6</f>
        <v>129.6</v>
      </c>
    </row>
    <row r="7" customFormat="false" ht="15" hidden="false" customHeight="false" outlineLevel="0" collapsed="false">
      <c r="B7" s="5" t="n">
        <v>1100</v>
      </c>
      <c r="C7" s="5" t="s">
        <v>25</v>
      </c>
      <c r="D7" s="20" t="n">
        <f aca="false">'Trial Balances'!E7</f>
        <v>2100</v>
      </c>
      <c r="E7" s="30" t="n">
        <f aca="false">Inputs!$D$14</f>
        <v>1</v>
      </c>
      <c r="F7" s="6" t="n">
        <f aca="false">D7*E7</f>
        <v>2100</v>
      </c>
      <c r="G7" s="20" t="n">
        <f aca="false">'Trial Balances'!F7</f>
        <v>900</v>
      </c>
      <c r="H7" s="30" t="n">
        <f aca="false">Inputs!$D$14</f>
        <v>1</v>
      </c>
      <c r="I7" s="6" t="n">
        <f aca="false">G7*H7</f>
        <v>900</v>
      </c>
      <c r="J7" s="20" t="n">
        <f aca="false">'Trial Balances'!G7</f>
        <v>700</v>
      </c>
      <c r="K7" s="30" t="n">
        <f aca="false">Inputs!$D$15</f>
        <v>1.08</v>
      </c>
      <c r="L7" s="6" t="n">
        <f aca="false">J7*K7</f>
        <v>756</v>
      </c>
      <c r="M7" s="20" t="n">
        <f aca="false">'Trial Balances'!H7</f>
        <v>250</v>
      </c>
      <c r="N7" s="30" t="n">
        <f aca="false">Inputs!$D$17</f>
        <v>1.27</v>
      </c>
      <c r="O7" s="6" t="n">
        <f aca="false">M7*N7</f>
        <v>317.5</v>
      </c>
      <c r="P7" s="20" t="n">
        <f aca="false">'Trial Balances'!I7</f>
        <v>200</v>
      </c>
      <c r="Q7" s="30" t="n">
        <f aca="false">Inputs!$D$15</f>
        <v>1.08</v>
      </c>
      <c r="R7" s="6" t="n">
        <f aca="false">P7*Q7</f>
        <v>216</v>
      </c>
    </row>
    <row r="8" customFormat="false" ht="15" hidden="false" customHeight="false" outlineLevel="0" collapsed="false">
      <c r="B8" s="5" t="n">
        <v>1150</v>
      </c>
      <c r="C8" s="5" t="s">
        <v>150</v>
      </c>
      <c r="D8" s="20" t="n">
        <f aca="false">'Trial Balances'!E8</f>
        <v>540</v>
      </c>
      <c r="E8" s="30" t="n">
        <f aca="false">Inputs!$D$14</f>
        <v>1</v>
      </c>
      <c r="F8" s="6" t="n">
        <f aca="false">D8*E8</f>
        <v>540</v>
      </c>
      <c r="G8" s="20" t="n">
        <f aca="false">'Trial Balances'!F8</f>
        <v>150</v>
      </c>
      <c r="H8" s="30" t="n">
        <f aca="false">Inputs!$D$14</f>
        <v>1</v>
      </c>
      <c r="I8" s="6" t="n">
        <f aca="false">G8*H8</f>
        <v>150</v>
      </c>
      <c r="J8" s="20" t="n">
        <f aca="false">'Trial Balances'!G8</f>
        <v>0</v>
      </c>
      <c r="K8" s="30" t="n">
        <f aca="false">Inputs!$D$15</f>
        <v>1.08</v>
      </c>
      <c r="L8" s="6" t="n">
        <f aca="false">J8*K8</f>
        <v>0</v>
      </c>
      <c r="M8" s="20" t="n">
        <f aca="false">'Trial Balances'!H8</f>
        <v>0</v>
      </c>
      <c r="N8" s="30" t="n">
        <f aca="false">Inputs!$D$17</f>
        <v>1.27</v>
      </c>
      <c r="O8" s="6" t="n">
        <f aca="false">M8*N8</f>
        <v>0</v>
      </c>
      <c r="P8" s="20" t="n">
        <f aca="false">'Trial Balances'!I8</f>
        <v>0</v>
      </c>
      <c r="Q8" s="30" t="n">
        <f aca="false">Inputs!$D$15</f>
        <v>1.08</v>
      </c>
      <c r="R8" s="6" t="n">
        <f aca="false">P8*Q8</f>
        <v>0</v>
      </c>
    </row>
    <row r="9" customFormat="false" ht="15" hidden="false" customHeight="false" outlineLevel="0" collapsed="false">
      <c r="B9" s="5" t="n">
        <v>1200</v>
      </c>
      <c r="C9" s="5" t="s">
        <v>24</v>
      </c>
      <c r="D9" s="20" t="n">
        <f aca="false">'Trial Balances'!E9</f>
        <v>1500</v>
      </c>
      <c r="E9" s="30" t="n">
        <f aca="false">Inputs!$D$14</f>
        <v>1</v>
      </c>
      <c r="F9" s="6" t="n">
        <f aca="false">D9*E9</f>
        <v>1500</v>
      </c>
      <c r="G9" s="20" t="n">
        <f aca="false">'Trial Balances'!F9</f>
        <v>700</v>
      </c>
      <c r="H9" s="30" t="n">
        <f aca="false">Inputs!$D$14</f>
        <v>1</v>
      </c>
      <c r="I9" s="6" t="n">
        <f aca="false">G9*H9</f>
        <v>700</v>
      </c>
      <c r="J9" s="20" t="n">
        <f aca="false">'Trial Balances'!G9</f>
        <v>500</v>
      </c>
      <c r="K9" s="30" t="n">
        <f aca="false">Inputs!$D$15</f>
        <v>1.08</v>
      </c>
      <c r="L9" s="6" t="n">
        <f aca="false">J9*K9</f>
        <v>540</v>
      </c>
      <c r="M9" s="20" t="n">
        <f aca="false">'Trial Balances'!H9</f>
        <v>180</v>
      </c>
      <c r="N9" s="30" t="n">
        <f aca="false">Inputs!$D$17</f>
        <v>1.27</v>
      </c>
      <c r="O9" s="6" t="n">
        <f aca="false">M9*N9</f>
        <v>228.6</v>
      </c>
      <c r="P9" s="20" t="n">
        <f aca="false">'Trial Balances'!I9</f>
        <v>150</v>
      </c>
      <c r="Q9" s="30" t="n">
        <f aca="false">Inputs!$D$15</f>
        <v>1.08</v>
      </c>
      <c r="R9" s="6" t="n">
        <f aca="false">P9*Q9</f>
        <v>162</v>
      </c>
    </row>
    <row r="10" customFormat="false" ht="15" hidden="false" customHeight="false" outlineLevel="0" collapsed="false">
      <c r="B10" s="5" t="n">
        <v>1500</v>
      </c>
      <c r="C10" s="5" t="s">
        <v>21</v>
      </c>
      <c r="D10" s="20" t="n">
        <f aca="false">'Trial Balances'!E10</f>
        <v>6000</v>
      </c>
      <c r="E10" s="30" t="n">
        <f aca="false">Inputs!$D$14</f>
        <v>1</v>
      </c>
      <c r="F10" s="6" t="n">
        <f aca="false">D10*E10</f>
        <v>6000</v>
      </c>
      <c r="G10" s="20" t="n">
        <f aca="false">'Trial Balances'!F10</f>
        <v>2500</v>
      </c>
      <c r="H10" s="30" t="n">
        <f aca="false">Inputs!$D$14</f>
        <v>1</v>
      </c>
      <c r="I10" s="6" t="n">
        <f aca="false">G10*H10</f>
        <v>2500</v>
      </c>
      <c r="J10" s="20" t="n">
        <f aca="false">'Trial Balances'!G10</f>
        <v>1800</v>
      </c>
      <c r="K10" s="30" t="n">
        <f aca="false">Inputs!$D$15</f>
        <v>1.08</v>
      </c>
      <c r="L10" s="6" t="n">
        <f aca="false">J10*K10</f>
        <v>1944</v>
      </c>
      <c r="M10" s="20" t="n">
        <f aca="false">'Trial Balances'!H10</f>
        <v>900</v>
      </c>
      <c r="N10" s="30" t="n">
        <f aca="false">Inputs!$D$17</f>
        <v>1.27</v>
      </c>
      <c r="O10" s="6" t="n">
        <f aca="false">M10*N10</f>
        <v>1143</v>
      </c>
      <c r="P10" s="20" t="n">
        <f aca="false">'Trial Balances'!I10</f>
        <v>700</v>
      </c>
      <c r="Q10" s="30" t="n">
        <f aca="false">Inputs!$D$15</f>
        <v>1.08</v>
      </c>
      <c r="R10" s="6" t="n">
        <f aca="false">P10*Q10</f>
        <v>756</v>
      </c>
    </row>
    <row r="11" customFormat="false" ht="15" hidden="false" customHeight="false" outlineLevel="0" collapsed="false">
      <c r="B11" s="5" t="n">
        <v>1600</v>
      </c>
      <c r="C11" s="5" t="s">
        <v>151</v>
      </c>
      <c r="D11" s="20" t="n">
        <f aca="false">'Trial Balances'!E11</f>
        <v>3580</v>
      </c>
      <c r="E11" s="30" t="n">
        <f aca="false">Inputs!$D$14</f>
        <v>1</v>
      </c>
      <c r="F11" s="6" t="n">
        <f aca="false">D11*E11</f>
        <v>3580</v>
      </c>
      <c r="G11" s="20" t="n">
        <f aca="false">'Trial Balances'!F11</f>
        <v>600</v>
      </c>
      <c r="H11" s="30" t="n">
        <f aca="false">Inputs!$D$14</f>
        <v>1</v>
      </c>
      <c r="I11" s="6" t="n">
        <f aca="false">G11*H11</f>
        <v>600</v>
      </c>
      <c r="J11" s="20" t="n">
        <f aca="false">'Trial Balances'!G11</f>
        <v>450</v>
      </c>
      <c r="K11" s="30" t="n">
        <f aca="false">Inputs!$D$15</f>
        <v>1.08</v>
      </c>
      <c r="L11" s="6" t="n">
        <f aca="false">J11*K11</f>
        <v>486</v>
      </c>
      <c r="M11" s="20" t="n">
        <f aca="false">'Trial Balances'!H11</f>
        <v>0</v>
      </c>
      <c r="N11" s="30" t="n">
        <f aca="false">Inputs!$D$17</f>
        <v>1.27</v>
      </c>
      <c r="O11" s="6" t="n">
        <f aca="false">M11*N11</f>
        <v>0</v>
      </c>
      <c r="P11" s="20" t="n">
        <f aca="false">'Trial Balances'!I11</f>
        <v>0</v>
      </c>
      <c r="Q11" s="30" t="n">
        <f aca="false">Inputs!$D$15</f>
        <v>1.08</v>
      </c>
      <c r="R11" s="6" t="n">
        <f aca="false">P11*Q11</f>
        <v>0</v>
      </c>
    </row>
    <row r="12" customFormat="false" ht="15" hidden="false" customHeight="false" outlineLevel="0" collapsed="false">
      <c r="B12" s="5" t="n">
        <v>1650</v>
      </c>
      <c r="C12" s="5" t="s">
        <v>152</v>
      </c>
      <c r="D12" s="20" t="n">
        <f aca="false">'Trial Balances'!E12</f>
        <v>1500</v>
      </c>
      <c r="E12" s="30" t="n">
        <f aca="false">Inputs!$D$14</f>
        <v>1</v>
      </c>
      <c r="F12" s="6" t="n">
        <f aca="false">D12*E12</f>
        <v>1500</v>
      </c>
      <c r="G12" s="20" t="n">
        <f aca="false">'Trial Balances'!F12</f>
        <v>0</v>
      </c>
      <c r="H12" s="30" t="n">
        <f aca="false">Inputs!$D$14</f>
        <v>1</v>
      </c>
      <c r="I12" s="6" t="n">
        <f aca="false">G12*H12</f>
        <v>0</v>
      </c>
      <c r="J12" s="20" t="n">
        <f aca="false">'Trial Balances'!G12</f>
        <v>0</v>
      </c>
      <c r="K12" s="30" t="n">
        <f aca="false">Inputs!$D$15</f>
        <v>1.08</v>
      </c>
      <c r="L12" s="6" t="n">
        <f aca="false">J12*K12</f>
        <v>0</v>
      </c>
      <c r="M12" s="20" t="n">
        <f aca="false">'Trial Balances'!H12</f>
        <v>0</v>
      </c>
      <c r="N12" s="30" t="n">
        <f aca="false">Inputs!$D$17</f>
        <v>1.27</v>
      </c>
      <c r="O12" s="6" t="n">
        <f aca="false">M12*N12</f>
        <v>0</v>
      </c>
      <c r="P12" s="20" t="n">
        <f aca="false">'Trial Balances'!I12</f>
        <v>0</v>
      </c>
      <c r="Q12" s="30" t="n">
        <f aca="false">Inputs!$D$15</f>
        <v>1.08</v>
      </c>
      <c r="R12" s="6" t="n">
        <f aca="false">P12*Q12</f>
        <v>0</v>
      </c>
    </row>
    <row r="13" customFormat="false" ht="15" hidden="false" customHeight="false" outlineLevel="0" collapsed="false">
      <c r="B13" s="5" t="n">
        <v>2000</v>
      </c>
      <c r="C13" s="5" t="s">
        <v>37</v>
      </c>
      <c r="D13" s="20" t="n">
        <f aca="false">'Trial Balances'!E13</f>
        <v>-1700</v>
      </c>
      <c r="E13" s="30" t="n">
        <f aca="false">Inputs!$D$14</f>
        <v>1</v>
      </c>
      <c r="F13" s="6" t="n">
        <f aca="false">D13*E13</f>
        <v>-1700</v>
      </c>
      <c r="G13" s="20" t="n">
        <f aca="false">'Trial Balances'!F13</f>
        <v>-650</v>
      </c>
      <c r="H13" s="30" t="n">
        <f aca="false">Inputs!$D$14</f>
        <v>1</v>
      </c>
      <c r="I13" s="6" t="n">
        <f aca="false">G13*H13</f>
        <v>-650</v>
      </c>
      <c r="J13" s="20" t="n">
        <f aca="false">'Trial Balances'!G13</f>
        <v>-450</v>
      </c>
      <c r="K13" s="30" t="n">
        <f aca="false">Inputs!$D$15</f>
        <v>1.08</v>
      </c>
      <c r="L13" s="6" t="n">
        <f aca="false">J13*K13</f>
        <v>-486</v>
      </c>
      <c r="M13" s="20" t="n">
        <f aca="false">'Trial Balances'!H13</f>
        <v>-180</v>
      </c>
      <c r="N13" s="30" t="n">
        <f aca="false">Inputs!$D$17</f>
        <v>1.27</v>
      </c>
      <c r="O13" s="6" t="n">
        <f aca="false">M13*N13</f>
        <v>-228.6</v>
      </c>
      <c r="P13" s="20" t="n">
        <f aca="false">'Trial Balances'!I13</f>
        <v>-150</v>
      </c>
      <c r="Q13" s="30" t="n">
        <f aca="false">Inputs!$D$15</f>
        <v>1.08</v>
      </c>
      <c r="R13" s="6" t="n">
        <f aca="false">P13*Q13</f>
        <v>-162</v>
      </c>
    </row>
    <row r="14" customFormat="false" ht="15" hidden="false" customHeight="false" outlineLevel="0" collapsed="false">
      <c r="B14" s="5" t="n">
        <v>2150</v>
      </c>
      <c r="C14" s="5" t="s">
        <v>153</v>
      </c>
      <c r="D14" s="20" t="n">
        <f aca="false">'Trial Balances'!E14</f>
        <v>-150</v>
      </c>
      <c r="E14" s="30" t="n">
        <f aca="false">Inputs!$D$14</f>
        <v>1</v>
      </c>
      <c r="F14" s="6" t="n">
        <f aca="false">D14*E14</f>
        <v>-150</v>
      </c>
      <c r="G14" s="20" t="n">
        <f aca="false">'Trial Balances'!F14</f>
        <v>0</v>
      </c>
      <c r="H14" s="30" t="n">
        <f aca="false">Inputs!$D$14</f>
        <v>1</v>
      </c>
      <c r="I14" s="6" t="n">
        <f aca="false">G14*H14</f>
        <v>0</v>
      </c>
      <c r="J14" s="20" t="n">
        <f aca="false">'Trial Balances'!G14</f>
        <v>-500</v>
      </c>
      <c r="K14" s="30" t="n">
        <f aca="false">Inputs!$D$15</f>
        <v>1.08</v>
      </c>
      <c r="L14" s="6" t="n">
        <f aca="false">J14*K14</f>
        <v>-540</v>
      </c>
      <c r="M14" s="20" t="n">
        <f aca="false">'Trial Balances'!H14</f>
        <v>0</v>
      </c>
      <c r="N14" s="30" t="n">
        <f aca="false">Inputs!$D$17</f>
        <v>1.27</v>
      </c>
      <c r="O14" s="6" t="n">
        <f aca="false">M14*N14</f>
        <v>0</v>
      </c>
      <c r="P14" s="20" t="n">
        <f aca="false">'Trial Balances'!I14</f>
        <v>0</v>
      </c>
      <c r="Q14" s="30" t="n">
        <f aca="false">Inputs!$D$15</f>
        <v>1.08</v>
      </c>
      <c r="R14" s="6" t="n">
        <f aca="false">P14*Q14</f>
        <v>0</v>
      </c>
    </row>
    <row r="15" customFormat="false" ht="15" hidden="false" customHeight="false" outlineLevel="0" collapsed="false">
      <c r="B15" s="5" t="n">
        <v>2500</v>
      </c>
      <c r="C15" s="5" t="s">
        <v>36</v>
      </c>
      <c r="D15" s="20" t="n">
        <f aca="false">'Trial Balances'!E15</f>
        <v>-5000</v>
      </c>
      <c r="E15" s="30" t="n">
        <f aca="false">Inputs!$D$14</f>
        <v>1</v>
      </c>
      <c r="F15" s="6" t="n">
        <f aca="false">D15*E15</f>
        <v>-5000</v>
      </c>
      <c r="G15" s="20" t="n">
        <f aca="false">'Trial Balances'!F15</f>
        <v>-1600</v>
      </c>
      <c r="H15" s="30" t="n">
        <f aca="false">Inputs!$D$14</f>
        <v>1</v>
      </c>
      <c r="I15" s="6" t="n">
        <f aca="false">G15*H15</f>
        <v>-1600</v>
      </c>
      <c r="J15" s="20" t="n">
        <f aca="false">'Trial Balances'!G15</f>
        <v>-1050</v>
      </c>
      <c r="K15" s="30" t="n">
        <f aca="false">Inputs!$D$15</f>
        <v>1.08</v>
      </c>
      <c r="L15" s="6" t="n">
        <f aca="false">J15*K15</f>
        <v>-1134</v>
      </c>
      <c r="M15" s="20" t="n">
        <f aca="false">'Trial Balances'!H15</f>
        <v>-300</v>
      </c>
      <c r="N15" s="30" t="n">
        <f aca="false">Inputs!$D$17</f>
        <v>1.27</v>
      </c>
      <c r="O15" s="6" t="n">
        <f aca="false">M15*N15</f>
        <v>-381</v>
      </c>
      <c r="P15" s="20" t="n">
        <f aca="false">'Trial Balances'!I15</f>
        <v>-250</v>
      </c>
      <c r="Q15" s="30" t="n">
        <f aca="false">Inputs!$D$15</f>
        <v>1.08</v>
      </c>
      <c r="R15" s="6" t="n">
        <f aca="false">P15*Q15</f>
        <v>-270</v>
      </c>
    </row>
    <row r="16" customFormat="false" ht="15" hidden="false" customHeight="false" outlineLevel="0" collapsed="false">
      <c r="B16" s="5" t="n">
        <v>3000</v>
      </c>
      <c r="C16" s="5" t="s">
        <v>30</v>
      </c>
      <c r="D16" s="20" t="n">
        <f aca="false">'Trial Balances'!E16</f>
        <v>-5000</v>
      </c>
      <c r="E16" s="30" t="n">
        <f aca="false">Inputs!$F$14</f>
        <v>1</v>
      </c>
      <c r="F16" s="6" t="n">
        <f aca="false">D16*E16</f>
        <v>-5000</v>
      </c>
      <c r="G16" s="20" t="n">
        <f aca="false">'Trial Balances'!F16</f>
        <v>-1000</v>
      </c>
      <c r="H16" s="30" t="n">
        <f aca="false">Inputs!$F$14</f>
        <v>1</v>
      </c>
      <c r="I16" s="6" t="n">
        <f aca="false">G16*H16</f>
        <v>-1000</v>
      </c>
      <c r="J16" s="20" t="n">
        <f aca="false">'Trial Balances'!G16</f>
        <v>-1000</v>
      </c>
      <c r="K16" s="30" t="n">
        <f aca="false">Inputs!$F$15</f>
        <v>1.1</v>
      </c>
      <c r="L16" s="6" t="n">
        <f aca="false">J16*K16</f>
        <v>-1100</v>
      </c>
      <c r="M16" s="20" t="n">
        <f aca="false">'Trial Balances'!H16</f>
        <v>-500</v>
      </c>
      <c r="N16" s="30" t="n">
        <f aca="false">Inputs!$F$17</f>
        <v>1.25</v>
      </c>
      <c r="O16" s="6" t="n">
        <f aca="false">M16*N16</f>
        <v>-625</v>
      </c>
      <c r="P16" s="20" t="n">
        <f aca="false">'Trial Balances'!I16</f>
        <v>-400</v>
      </c>
      <c r="Q16" s="30" t="n">
        <f aca="false">Inputs!$F$15</f>
        <v>1.1</v>
      </c>
      <c r="R16" s="6" t="n">
        <f aca="false">P16*Q16</f>
        <v>-440</v>
      </c>
    </row>
    <row r="17" customFormat="false" ht="15" hidden="false" customHeight="false" outlineLevel="0" collapsed="false">
      <c r="B17" s="5" t="n">
        <v>3100</v>
      </c>
      <c r="C17" s="5" t="s">
        <v>154</v>
      </c>
      <c r="D17" s="20" t="n">
        <f aca="false">'Trial Balances'!E17</f>
        <v>-2800</v>
      </c>
      <c r="E17" s="30" t="n">
        <f aca="false">Inputs!$F$14</f>
        <v>1</v>
      </c>
      <c r="F17" s="6" t="n">
        <f aca="false">D17*E17</f>
        <v>-2800</v>
      </c>
      <c r="G17" s="20" t="n">
        <f aca="false">'Trial Balances'!F17</f>
        <v>-1460</v>
      </c>
      <c r="H17" s="30" t="n">
        <f aca="false">Inputs!$F$14</f>
        <v>1</v>
      </c>
      <c r="I17" s="6" t="n">
        <f aca="false">G17*H17</f>
        <v>-1460</v>
      </c>
      <c r="J17" s="20" t="n">
        <f aca="false">'Trial Balances'!G17</f>
        <v>-420</v>
      </c>
      <c r="K17" s="30" t="n">
        <f aca="false">IF(J17=0,0,L17/J17)</f>
        <v>1.0952380952381</v>
      </c>
      <c r="L17" s="6" t="n">
        <f aca="false">-Inputs!$H$8</f>
        <v>-460</v>
      </c>
      <c r="M17" s="20" t="n">
        <f aca="false">'Trial Balances'!H17</f>
        <v>-300</v>
      </c>
      <c r="N17" s="30" t="n">
        <f aca="false">IF(M17=0,0,O17/M17)</f>
        <v>1.25666666666667</v>
      </c>
      <c r="O17" s="6" t="n">
        <f aca="false">-Inputs!$H$9</f>
        <v>-377</v>
      </c>
      <c r="P17" s="20" t="n">
        <f aca="false">'Trial Balances'!I17</f>
        <v>-220</v>
      </c>
      <c r="Q17" s="30" t="n">
        <f aca="false">IF(P17=0,0,R17/P17)</f>
        <v>1.09545454545455</v>
      </c>
      <c r="R17" s="6" t="n">
        <f aca="false">-Inputs!$H$10</f>
        <v>-241</v>
      </c>
    </row>
    <row r="18" customFormat="false" ht="15" hidden="false" customHeight="false" outlineLevel="0" collapsed="false">
      <c r="B18" s="5" t="n">
        <v>4000</v>
      </c>
      <c r="C18" s="5" t="s">
        <v>4</v>
      </c>
      <c r="D18" s="20" t="n">
        <f aca="false">'Trial Balances'!E18</f>
        <v>-14000</v>
      </c>
      <c r="E18" s="30" t="n">
        <f aca="false">Inputs!$E$14</f>
        <v>1</v>
      </c>
      <c r="F18" s="6" t="n">
        <f aca="false">D18*E18</f>
        <v>-14000</v>
      </c>
      <c r="G18" s="20" t="n">
        <f aca="false">'Trial Balances'!F18</f>
        <v>-4200</v>
      </c>
      <c r="H18" s="30" t="n">
        <f aca="false">Inputs!$E$14</f>
        <v>1</v>
      </c>
      <c r="I18" s="6" t="n">
        <f aca="false">G18*H18</f>
        <v>-4200</v>
      </c>
      <c r="J18" s="20" t="n">
        <f aca="false">'Trial Balances'!G18</f>
        <v>-3600</v>
      </c>
      <c r="K18" s="30" t="n">
        <f aca="false">Inputs!$E$15</f>
        <v>1.09</v>
      </c>
      <c r="L18" s="6" t="n">
        <f aca="false">J18*K18</f>
        <v>-3924</v>
      </c>
      <c r="M18" s="20" t="n">
        <f aca="false">'Trial Balances'!H18</f>
        <v>-1600</v>
      </c>
      <c r="N18" s="30" t="n">
        <f aca="false">Inputs!$E$17</f>
        <v>1.28</v>
      </c>
      <c r="O18" s="6" t="n">
        <f aca="false">M18*N18</f>
        <v>-2048</v>
      </c>
      <c r="P18" s="20" t="n">
        <f aca="false">'Trial Balances'!I18</f>
        <v>-1200</v>
      </c>
      <c r="Q18" s="30" t="n">
        <f aca="false">Inputs!$E$15</f>
        <v>1.09</v>
      </c>
      <c r="R18" s="6" t="n">
        <f aca="false">P18*Q18</f>
        <v>-1308</v>
      </c>
    </row>
    <row r="19" customFormat="false" ht="15" hidden="false" customHeight="false" outlineLevel="0" collapsed="false">
      <c r="B19" s="5" t="n">
        <v>4050</v>
      </c>
      <c r="C19" s="5" t="s">
        <v>155</v>
      </c>
      <c r="D19" s="20" t="n">
        <f aca="false">'Trial Balances'!E19</f>
        <v>0</v>
      </c>
      <c r="E19" s="30" t="n">
        <f aca="false">Inputs!$E$14</f>
        <v>1</v>
      </c>
      <c r="F19" s="6" t="n">
        <f aca="false">D19*E19</f>
        <v>0</v>
      </c>
      <c r="G19" s="20" t="n">
        <f aca="false">'Trial Balances'!F19</f>
        <v>-800</v>
      </c>
      <c r="H19" s="30" t="n">
        <f aca="false">Inputs!$E$14</f>
        <v>1</v>
      </c>
      <c r="I19" s="6" t="n">
        <f aca="false">G19*H19</f>
        <v>-800</v>
      </c>
      <c r="J19" s="20" t="n">
        <f aca="false">'Trial Balances'!G19</f>
        <v>0</v>
      </c>
      <c r="K19" s="30" t="n">
        <f aca="false">Inputs!$E$15</f>
        <v>1.09</v>
      </c>
      <c r="L19" s="6" t="n">
        <f aca="false">J19*K19</f>
        <v>0</v>
      </c>
      <c r="M19" s="20" t="n">
        <f aca="false">'Trial Balances'!H19</f>
        <v>0</v>
      </c>
      <c r="N19" s="30" t="n">
        <f aca="false">Inputs!$E$17</f>
        <v>1.28</v>
      </c>
      <c r="O19" s="6" t="n">
        <f aca="false">M19*N19</f>
        <v>0</v>
      </c>
      <c r="P19" s="20" t="n">
        <f aca="false">'Trial Balances'!I19</f>
        <v>0</v>
      </c>
      <c r="Q19" s="30" t="n">
        <f aca="false">Inputs!$E$15</f>
        <v>1.09</v>
      </c>
      <c r="R19" s="6" t="n">
        <f aca="false">P19*Q19</f>
        <v>0</v>
      </c>
    </row>
    <row r="20" customFormat="false" ht="15" hidden="false" customHeight="false" outlineLevel="0" collapsed="false">
      <c r="B20" s="5" t="n">
        <v>4100</v>
      </c>
      <c r="C20" s="5" t="s">
        <v>156</v>
      </c>
      <c r="D20" s="20" t="n">
        <f aca="false">'Trial Balances'!E20</f>
        <v>-131.69</v>
      </c>
      <c r="E20" s="30" t="n">
        <f aca="false">Inputs!$E$14</f>
        <v>1</v>
      </c>
      <c r="F20" s="6" t="n">
        <f aca="false">D20*E20</f>
        <v>-131.69</v>
      </c>
      <c r="G20" s="20" t="n">
        <f aca="false">'Trial Balances'!F20</f>
        <v>0</v>
      </c>
      <c r="H20" s="30" t="n">
        <f aca="false">Inputs!$E$14</f>
        <v>1</v>
      </c>
      <c r="I20" s="6" t="n">
        <f aca="false">G20*H20</f>
        <v>0</v>
      </c>
      <c r="J20" s="20" t="n">
        <f aca="false">'Trial Balances'!G20</f>
        <v>0</v>
      </c>
      <c r="K20" s="30" t="n">
        <f aca="false">Inputs!$E$15</f>
        <v>1.09</v>
      </c>
      <c r="L20" s="6" t="n">
        <f aca="false">J20*K20</f>
        <v>0</v>
      </c>
      <c r="M20" s="20" t="n">
        <f aca="false">'Trial Balances'!H20</f>
        <v>0</v>
      </c>
      <c r="N20" s="30" t="n">
        <f aca="false">Inputs!$E$17</f>
        <v>1.28</v>
      </c>
      <c r="O20" s="6" t="n">
        <f aca="false">M20*N20</f>
        <v>0</v>
      </c>
      <c r="P20" s="20" t="n">
        <f aca="false">'Trial Balances'!I20</f>
        <v>0</v>
      </c>
      <c r="Q20" s="30" t="n">
        <f aca="false">Inputs!$E$15</f>
        <v>1.09</v>
      </c>
      <c r="R20" s="6" t="n">
        <f aca="false">P20*Q20</f>
        <v>0</v>
      </c>
    </row>
    <row r="21" customFormat="false" ht="15" hidden="false" customHeight="false" outlineLevel="0" collapsed="false">
      <c r="B21" s="5" t="n">
        <v>5000</v>
      </c>
      <c r="C21" s="5" t="s">
        <v>5</v>
      </c>
      <c r="D21" s="20" t="n">
        <f aca="false">'Trial Balances'!E21</f>
        <v>7600</v>
      </c>
      <c r="E21" s="30" t="n">
        <f aca="false">Inputs!$E$14</f>
        <v>1</v>
      </c>
      <c r="F21" s="6" t="n">
        <f aca="false">D21*E21</f>
        <v>7600</v>
      </c>
      <c r="G21" s="20" t="n">
        <f aca="false">'Trial Balances'!F21</f>
        <v>3000</v>
      </c>
      <c r="H21" s="30" t="n">
        <f aca="false">Inputs!$E$14</f>
        <v>1</v>
      </c>
      <c r="I21" s="6" t="n">
        <f aca="false">G21*H21</f>
        <v>3000</v>
      </c>
      <c r="J21" s="20" t="n">
        <f aca="false">'Trial Balances'!G21</f>
        <v>2200</v>
      </c>
      <c r="K21" s="30" t="n">
        <f aca="false">Inputs!$E$15</f>
        <v>1.09</v>
      </c>
      <c r="L21" s="6" t="n">
        <f aca="false">J21*K21</f>
        <v>2398</v>
      </c>
      <c r="M21" s="20" t="n">
        <f aca="false">'Trial Balances'!H21</f>
        <v>1000</v>
      </c>
      <c r="N21" s="30" t="n">
        <f aca="false">Inputs!$E$17</f>
        <v>1.28</v>
      </c>
      <c r="O21" s="6" t="n">
        <f aca="false">M21*N21</f>
        <v>1280</v>
      </c>
      <c r="P21" s="20" t="n">
        <f aca="false">'Trial Balances'!I21</f>
        <v>760</v>
      </c>
      <c r="Q21" s="30" t="n">
        <f aca="false">Inputs!$E$15</f>
        <v>1.09</v>
      </c>
      <c r="R21" s="6" t="n">
        <f aca="false">P21*Q21</f>
        <v>828.4</v>
      </c>
    </row>
    <row r="22" customFormat="false" ht="15" hidden="false" customHeight="false" outlineLevel="0" collapsed="false">
      <c r="B22" s="5" t="n">
        <v>5050</v>
      </c>
      <c r="C22" s="5" t="s">
        <v>158</v>
      </c>
      <c r="D22" s="20" t="n">
        <f aca="false">'Trial Balances'!E22</f>
        <v>800</v>
      </c>
      <c r="E22" s="30" t="n">
        <f aca="false">Inputs!$E$14</f>
        <v>1</v>
      </c>
      <c r="F22" s="6" t="n">
        <f aca="false">D22*E22</f>
        <v>800</v>
      </c>
      <c r="G22" s="20" t="n">
        <f aca="false">'Trial Balances'!F22</f>
        <v>0</v>
      </c>
      <c r="H22" s="30" t="n">
        <f aca="false">Inputs!$E$14</f>
        <v>1</v>
      </c>
      <c r="I22" s="6" t="n">
        <f aca="false">G22*H22</f>
        <v>0</v>
      </c>
      <c r="J22" s="20" t="n">
        <f aca="false">'Trial Balances'!G22</f>
        <v>0</v>
      </c>
      <c r="K22" s="30" t="n">
        <f aca="false">Inputs!$E$15</f>
        <v>1.09</v>
      </c>
      <c r="L22" s="6" t="n">
        <f aca="false">J22*K22</f>
        <v>0</v>
      </c>
      <c r="M22" s="20" t="n">
        <f aca="false">'Trial Balances'!H22</f>
        <v>0</v>
      </c>
      <c r="N22" s="30" t="n">
        <f aca="false">Inputs!$E$17</f>
        <v>1.28</v>
      </c>
      <c r="O22" s="6" t="n">
        <f aca="false">M22*N22</f>
        <v>0</v>
      </c>
      <c r="P22" s="20" t="n">
        <f aca="false">'Trial Balances'!I22</f>
        <v>0</v>
      </c>
      <c r="Q22" s="30" t="n">
        <f aca="false">Inputs!$E$15</f>
        <v>1.09</v>
      </c>
      <c r="R22" s="6" t="n">
        <f aca="false">P22*Q22</f>
        <v>0</v>
      </c>
    </row>
    <row r="23" customFormat="false" ht="15" hidden="false" customHeight="false" outlineLevel="0" collapsed="false">
      <c r="B23" s="5" t="n">
        <v>6000</v>
      </c>
      <c r="C23" s="5" t="s">
        <v>7</v>
      </c>
      <c r="D23" s="20" t="n">
        <f aca="false">'Trial Balances'!E23</f>
        <v>3100</v>
      </c>
      <c r="E23" s="30" t="n">
        <f aca="false">Inputs!$E$14</f>
        <v>1</v>
      </c>
      <c r="F23" s="6" t="n">
        <f aca="false">D23*E23</f>
        <v>3100</v>
      </c>
      <c r="G23" s="20" t="n">
        <f aca="false">'Trial Balances'!F23</f>
        <v>950</v>
      </c>
      <c r="H23" s="30" t="n">
        <f aca="false">Inputs!$E$14</f>
        <v>1</v>
      </c>
      <c r="I23" s="6" t="n">
        <f aca="false">G23*H23</f>
        <v>950</v>
      </c>
      <c r="J23" s="20" t="n">
        <f aca="false">'Trial Balances'!G23</f>
        <v>800</v>
      </c>
      <c r="K23" s="30" t="n">
        <f aca="false">Inputs!$E$15</f>
        <v>1.09</v>
      </c>
      <c r="L23" s="6" t="n">
        <f aca="false">J23*K23</f>
        <v>872</v>
      </c>
      <c r="M23" s="20" t="n">
        <f aca="false">'Trial Balances'!H23</f>
        <v>300</v>
      </c>
      <c r="N23" s="30" t="n">
        <f aca="false">Inputs!$E$17</f>
        <v>1.28</v>
      </c>
      <c r="O23" s="6" t="n">
        <f aca="false">M23*N23</f>
        <v>384</v>
      </c>
      <c r="P23" s="20" t="n">
        <f aca="false">'Trial Balances'!I23</f>
        <v>230</v>
      </c>
      <c r="Q23" s="30" t="n">
        <f aca="false">Inputs!$E$15</f>
        <v>1.09</v>
      </c>
      <c r="R23" s="6" t="n">
        <f aca="false">P23*Q23</f>
        <v>250.7</v>
      </c>
    </row>
    <row r="24" customFormat="false" ht="15" hidden="false" customHeight="false" outlineLevel="0" collapsed="false">
      <c r="B24" s="5" t="n">
        <v>7000</v>
      </c>
      <c r="C24" s="5" t="s">
        <v>11</v>
      </c>
      <c r="D24" s="20" t="n">
        <f aca="false">'Trial Balances'!E24</f>
        <v>280</v>
      </c>
      <c r="E24" s="30" t="n">
        <f aca="false">Inputs!$E$14</f>
        <v>1</v>
      </c>
      <c r="F24" s="6" t="n">
        <f aca="false">D24*E24</f>
        <v>280</v>
      </c>
      <c r="G24" s="20" t="n">
        <f aca="false">'Trial Balances'!F24</f>
        <v>60</v>
      </c>
      <c r="H24" s="30" t="n">
        <f aca="false">Inputs!$E$14</f>
        <v>1</v>
      </c>
      <c r="I24" s="6" t="n">
        <f aca="false">G24*H24</f>
        <v>60</v>
      </c>
      <c r="J24" s="20" t="n">
        <f aca="false">'Trial Balances'!G24</f>
        <v>30</v>
      </c>
      <c r="K24" s="30" t="n">
        <f aca="false">Inputs!$E$15</f>
        <v>1.09</v>
      </c>
      <c r="L24" s="6" t="n">
        <f aca="false">J24*K24</f>
        <v>32.7</v>
      </c>
      <c r="M24" s="20" t="n">
        <f aca="false">'Trial Balances'!H24</f>
        <v>20</v>
      </c>
      <c r="N24" s="30" t="n">
        <f aca="false">Inputs!$E$17</f>
        <v>1.28</v>
      </c>
      <c r="O24" s="6" t="n">
        <f aca="false">M24*N24</f>
        <v>25.6</v>
      </c>
      <c r="P24" s="20" t="n">
        <f aca="false">'Trial Balances'!I24</f>
        <v>10</v>
      </c>
      <c r="Q24" s="30" t="n">
        <f aca="false">Inputs!$E$15</f>
        <v>1.09</v>
      </c>
      <c r="R24" s="6" t="n">
        <f aca="false">P24*Q24</f>
        <v>10.9</v>
      </c>
    </row>
    <row r="25" customFormat="false" ht="15" hidden="false" customHeight="false" outlineLevel="0" collapsed="false">
      <c r="B25" s="5" t="n">
        <v>8000</v>
      </c>
      <c r="C25" s="5" t="s">
        <v>13</v>
      </c>
      <c r="D25" s="20" t="n">
        <f aca="false">'Trial Balances'!E25</f>
        <v>450</v>
      </c>
      <c r="E25" s="30" t="n">
        <f aca="false">Inputs!$E$14</f>
        <v>1</v>
      </c>
      <c r="F25" s="6" t="n">
        <f aca="false">D25*E25</f>
        <v>450</v>
      </c>
      <c r="G25" s="20" t="n">
        <f aca="false">'Trial Balances'!F25</f>
        <v>250</v>
      </c>
      <c r="H25" s="30" t="n">
        <f aca="false">Inputs!$E$14</f>
        <v>1</v>
      </c>
      <c r="I25" s="6" t="n">
        <f aca="false">G25*H25</f>
        <v>250</v>
      </c>
      <c r="J25" s="20" t="n">
        <f aca="false">'Trial Balances'!G25</f>
        <v>140</v>
      </c>
      <c r="K25" s="30" t="n">
        <f aca="false">Inputs!$E$15</f>
        <v>1.09</v>
      </c>
      <c r="L25" s="6" t="n">
        <f aca="false">J25*K25</f>
        <v>152.6</v>
      </c>
      <c r="M25" s="20" t="n">
        <f aca="false">'Trial Balances'!H25</f>
        <v>70</v>
      </c>
      <c r="N25" s="30" t="n">
        <f aca="false">Inputs!$E$17</f>
        <v>1.28</v>
      </c>
      <c r="O25" s="6" t="n">
        <f aca="false">M25*N25</f>
        <v>89.6</v>
      </c>
      <c r="P25" s="20" t="n">
        <f aca="false">'Trial Balances'!I25</f>
        <v>50</v>
      </c>
      <c r="Q25" s="30" t="n">
        <f aca="false">Inputs!$E$15</f>
        <v>1.09</v>
      </c>
      <c r="R25" s="6" t="n">
        <f aca="false">P25*Q25</f>
        <v>54.5</v>
      </c>
    </row>
    <row r="26" customFormat="false" ht="15" hidden="false" customHeight="false" outlineLevel="0" collapsed="false">
      <c r="B26" s="5" t="n">
        <v>3200</v>
      </c>
      <c r="C26" s="5" t="s">
        <v>32</v>
      </c>
      <c r="F26" s="8" t="n">
        <f aca="false">-SUM(F6:F25)</f>
        <v>-0</v>
      </c>
      <c r="I26" s="8" t="n">
        <f aca="false">-SUM(I6:I25)</f>
        <v>-0</v>
      </c>
      <c r="L26" s="8" t="n">
        <f aca="false">-SUM(L6:L25)</f>
        <v>30.7000000000001</v>
      </c>
      <c r="O26" s="8" t="n">
        <f aca="false">-SUM(O6:O25)</f>
        <v>-11.9</v>
      </c>
      <c r="R26" s="8" t="n">
        <f aca="false">-SUM(R6:R25)</f>
        <v>12.8999999999999</v>
      </c>
    </row>
    <row r="28" customFormat="false" ht="15" hidden="false" customHeight="false" outlineLevel="0" collapsed="false">
      <c r="B28" s="3" t="s">
        <v>236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6"/>
    <col collapsed="false" customWidth="true" hidden="false" outlineLevel="0" max="9" min="5" style="0" width="13"/>
  </cols>
  <sheetData>
    <row r="1" customFormat="false" ht="17.35" hidden="false" customHeight="false" outlineLevel="0" collapsed="false">
      <c r="B1" s="1" t="s">
        <v>0</v>
      </c>
    </row>
    <row r="2" customFormat="false" ht="15" hidden="false" customHeight="false" outlineLevel="0" collapsed="false">
      <c r="B2" s="2" t="s">
        <v>237</v>
      </c>
    </row>
    <row r="3" customFormat="false" ht="15" hidden="false" customHeight="false" outlineLevel="0" collapsed="false">
      <c r="B3" s="3" t="s">
        <v>238</v>
      </c>
    </row>
    <row r="5" customFormat="false" ht="23.85" hidden="false" customHeight="false" outlineLevel="0" collapsed="false">
      <c r="B5" s="4" t="s">
        <v>140</v>
      </c>
      <c r="C5" s="4" t="s">
        <v>141</v>
      </c>
      <c r="D5" s="19" t="s">
        <v>239</v>
      </c>
      <c r="E5" s="19" t="s">
        <v>142</v>
      </c>
      <c r="F5" s="19" t="s">
        <v>143</v>
      </c>
      <c r="G5" s="19" t="s">
        <v>240</v>
      </c>
      <c r="H5" s="19" t="s">
        <v>241</v>
      </c>
      <c r="I5" s="19" t="s">
        <v>242</v>
      </c>
    </row>
    <row r="6" customFormat="false" ht="15" hidden="false" customHeight="false" outlineLevel="0" collapsed="false">
      <c r="B6" s="5" t="n">
        <v>1000</v>
      </c>
      <c r="C6" s="5" t="s">
        <v>27</v>
      </c>
      <c r="D6" s="5" t="s">
        <v>243</v>
      </c>
      <c r="E6" s="31" t="n">
        <v>1331.69</v>
      </c>
      <c r="F6" s="31" t="n">
        <v>600</v>
      </c>
      <c r="G6" s="31" t="n">
        <v>400</v>
      </c>
      <c r="H6" s="31" t="n">
        <v>160</v>
      </c>
      <c r="I6" s="31" t="n">
        <v>120</v>
      </c>
    </row>
    <row r="7" customFormat="false" ht="15" hidden="false" customHeight="false" outlineLevel="0" collapsed="false">
      <c r="B7" s="5" t="n">
        <v>1100</v>
      </c>
      <c r="C7" s="5" t="s">
        <v>25</v>
      </c>
      <c r="D7" s="5" t="s">
        <v>243</v>
      </c>
      <c r="E7" s="31" t="n">
        <v>2100</v>
      </c>
      <c r="F7" s="31" t="n">
        <v>900</v>
      </c>
      <c r="G7" s="31" t="n">
        <v>700</v>
      </c>
      <c r="H7" s="31" t="n">
        <v>250</v>
      </c>
      <c r="I7" s="31" t="n">
        <v>200</v>
      </c>
    </row>
    <row r="8" customFormat="false" ht="15" hidden="false" customHeight="false" outlineLevel="0" collapsed="false">
      <c r="B8" s="5" t="n">
        <v>1150</v>
      </c>
      <c r="C8" s="5" t="s">
        <v>150</v>
      </c>
      <c r="D8" s="5" t="s">
        <v>243</v>
      </c>
      <c r="E8" s="31" t="n">
        <v>540</v>
      </c>
      <c r="F8" s="31" t="n">
        <v>150</v>
      </c>
      <c r="G8" s="31" t="n">
        <v>0</v>
      </c>
      <c r="H8" s="31" t="n">
        <v>0</v>
      </c>
      <c r="I8" s="31" t="n">
        <v>0</v>
      </c>
    </row>
    <row r="9" customFormat="false" ht="15" hidden="false" customHeight="false" outlineLevel="0" collapsed="false">
      <c r="B9" s="5" t="n">
        <v>1200</v>
      </c>
      <c r="C9" s="5" t="s">
        <v>24</v>
      </c>
      <c r="D9" s="5" t="s">
        <v>243</v>
      </c>
      <c r="E9" s="31" t="n">
        <v>1500</v>
      </c>
      <c r="F9" s="31" t="n">
        <v>700</v>
      </c>
      <c r="G9" s="31" t="n">
        <v>500</v>
      </c>
      <c r="H9" s="31" t="n">
        <v>180</v>
      </c>
      <c r="I9" s="31" t="n">
        <v>150</v>
      </c>
    </row>
    <row r="10" customFormat="false" ht="15" hidden="false" customHeight="false" outlineLevel="0" collapsed="false">
      <c r="B10" s="5" t="n">
        <v>1500</v>
      </c>
      <c r="C10" s="5" t="s">
        <v>21</v>
      </c>
      <c r="D10" s="5" t="s">
        <v>243</v>
      </c>
      <c r="E10" s="31" t="n">
        <v>6000</v>
      </c>
      <c r="F10" s="31" t="n">
        <v>2500</v>
      </c>
      <c r="G10" s="31" t="n">
        <v>1800</v>
      </c>
      <c r="H10" s="31" t="n">
        <v>900</v>
      </c>
      <c r="I10" s="31" t="n">
        <v>700</v>
      </c>
    </row>
    <row r="11" customFormat="false" ht="15" hidden="false" customHeight="false" outlineLevel="0" collapsed="false">
      <c r="B11" s="5" t="n">
        <v>1600</v>
      </c>
      <c r="C11" s="5" t="s">
        <v>151</v>
      </c>
      <c r="D11" s="5" t="s">
        <v>243</v>
      </c>
      <c r="E11" s="31" t="n">
        <v>3580</v>
      </c>
      <c r="F11" s="31" t="n">
        <v>600</v>
      </c>
      <c r="G11" s="31" t="n">
        <v>450</v>
      </c>
      <c r="H11" s="31" t="n">
        <v>0</v>
      </c>
      <c r="I11" s="31" t="n">
        <v>0</v>
      </c>
    </row>
    <row r="12" customFormat="false" ht="15" hidden="false" customHeight="false" outlineLevel="0" collapsed="false">
      <c r="B12" s="5" t="n">
        <v>1650</v>
      </c>
      <c r="C12" s="5" t="s">
        <v>152</v>
      </c>
      <c r="D12" s="5" t="s">
        <v>243</v>
      </c>
      <c r="E12" s="31" t="n">
        <v>1500</v>
      </c>
      <c r="F12" s="31" t="n">
        <v>0</v>
      </c>
      <c r="G12" s="31" t="n">
        <v>0</v>
      </c>
      <c r="H12" s="31" t="n">
        <v>0</v>
      </c>
      <c r="I12" s="31" t="n">
        <v>0</v>
      </c>
    </row>
    <row r="13" customFormat="false" ht="15" hidden="false" customHeight="false" outlineLevel="0" collapsed="false">
      <c r="B13" s="5" t="n">
        <v>2000</v>
      </c>
      <c r="C13" s="5" t="s">
        <v>37</v>
      </c>
      <c r="D13" s="5" t="s">
        <v>244</v>
      </c>
      <c r="E13" s="31" t="n">
        <v>-1700</v>
      </c>
      <c r="F13" s="31" t="n">
        <v>-650</v>
      </c>
      <c r="G13" s="31" t="n">
        <v>-450</v>
      </c>
      <c r="H13" s="31" t="n">
        <v>-180</v>
      </c>
      <c r="I13" s="31" t="n">
        <v>-150</v>
      </c>
    </row>
    <row r="14" customFormat="false" ht="15" hidden="false" customHeight="false" outlineLevel="0" collapsed="false">
      <c r="B14" s="5" t="n">
        <v>2150</v>
      </c>
      <c r="C14" s="5" t="s">
        <v>153</v>
      </c>
      <c r="D14" s="5" t="s">
        <v>244</v>
      </c>
      <c r="E14" s="31" t="n">
        <v>-150</v>
      </c>
      <c r="F14" s="31" t="n">
        <v>0</v>
      </c>
      <c r="G14" s="31" t="n">
        <v>-500</v>
      </c>
      <c r="H14" s="31" t="n">
        <v>0</v>
      </c>
      <c r="I14" s="31" t="n">
        <v>0</v>
      </c>
    </row>
    <row r="15" customFormat="false" ht="15" hidden="false" customHeight="false" outlineLevel="0" collapsed="false">
      <c r="B15" s="5" t="n">
        <v>2500</v>
      </c>
      <c r="C15" s="5" t="s">
        <v>36</v>
      </c>
      <c r="D15" s="5" t="s">
        <v>244</v>
      </c>
      <c r="E15" s="31" t="n">
        <v>-5000</v>
      </c>
      <c r="F15" s="31" t="n">
        <v>-1600</v>
      </c>
      <c r="G15" s="31" t="n">
        <v>-1050</v>
      </c>
      <c r="H15" s="31" t="n">
        <v>-300</v>
      </c>
      <c r="I15" s="31" t="n">
        <v>-250</v>
      </c>
    </row>
    <row r="16" customFormat="false" ht="15" hidden="false" customHeight="false" outlineLevel="0" collapsed="false">
      <c r="B16" s="5" t="n">
        <v>3000</v>
      </c>
      <c r="C16" s="5" t="s">
        <v>30</v>
      </c>
      <c r="D16" s="5" t="s">
        <v>245</v>
      </c>
      <c r="E16" s="31" t="n">
        <v>-5000</v>
      </c>
      <c r="F16" s="31" t="n">
        <v>-1000</v>
      </c>
      <c r="G16" s="31" t="n">
        <v>-1000</v>
      </c>
      <c r="H16" s="31" t="n">
        <v>-500</v>
      </c>
      <c r="I16" s="31" t="n">
        <v>-400</v>
      </c>
    </row>
    <row r="17" customFormat="false" ht="15" hidden="false" customHeight="false" outlineLevel="0" collapsed="false">
      <c r="B17" s="5" t="n">
        <v>3100</v>
      </c>
      <c r="C17" s="5" t="s">
        <v>154</v>
      </c>
      <c r="D17" s="5" t="s">
        <v>245</v>
      </c>
      <c r="E17" s="31" t="n">
        <v>-2800</v>
      </c>
      <c r="F17" s="31" t="n">
        <v>-1460</v>
      </c>
      <c r="G17" s="31" t="n">
        <v>-420</v>
      </c>
      <c r="H17" s="31" t="n">
        <v>-300</v>
      </c>
      <c r="I17" s="31" t="n">
        <v>-220</v>
      </c>
    </row>
    <row r="18" customFormat="false" ht="15" hidden="false" customHeight="false" outlineLevel="0" collapsed="false">
      <c r="B18" s="5" t="n">
        <v>4000</v>
      </c>
      <c r="C18" s="5" t="s">
        <v>4</v>
      </c>
      <c r="D18" s="5" t="s">
        <v>246</v>
      </c>
      <c r="E18" s="31" t="n">
        <v>-14000</v>
      </c>
      <c r="F18" s="31" t="n">
        <v>-4200</v>
      </c>
      <c r="G18" s="31" t="n">
        <v>-3600</v>
      </c>
      <c r="H18" s="31" t="n">
        <v>-1600</v>
      </c>
      <c r="I18" s="31" t="n">
        <v>-1200</v>
      </c>
    </row>
    <row r="19" customFormat="false" ht="15" hidden="false" customHeight="false" outlineLevel="0" collapsed="false">
      <c r="B19" s="5" t="n">
        <v>4050</v>
      </c>
      <c r="C19" s="5" t="s">
        <v>155</v>
      </c>
      <c r="D19" s="5" t="s">
        <v>246</v>
      </c>
      <c r="E19" s="31" t="n">
        <v>0</v>
      </c>
      <c r="F19" s="31" t="n">
        <v>-800</v>
      </c>
      <c r="G19" s="31" t="n">
        <v>0</v>
      </c>
      <c r="H19" s="31" t="n">
        <v>0</v>
      </c>
      <c r="I19" s="31" t="n">
        <v>0</v>
      </c>
    </row>
    <row r="20" customFormat="false" ht="15" hidden="false" customHeight="false" outlineLevel="0" collapsed="false">
      <c r="B20" s="5" t="n">
        <v>4100</v>
      </c>
      <c r="C20" s="5" t="s">
        <v>156</v>
      </c>
      <c r="D20" s="5" t="s">
        <v>246</v>
      </c>
      <c r="E20" s="31" t="n">
        <v>-131.69</v>
      </c>
      <c r="F20" s="31" t="n">
        <v>0</v>
      </c>
      <c r="G20" s="31" t="n">
        <v>0</v>
      </c>
      <c r="H20" s="31" t="n">
        <v>0</v>
      </c>
      <c r="I20" s="31" t="n">
        <v>0</v>
      </c>
    </row>
    <row r="21" customFormat="false" ht="15" hidden="false" customHeight="false" outlineLevel="0" collapsed="false">
      <c r="B21" s="5" t="n">
        <v>5000</v>
      </c>
      <c r="C21" s="5" t="s">
        <v>5</v>
      </c>
      <c r="D21" s="5" t="s">
        <v>247</v>
      </c>
      <c r="E21" s="31" t="n">
        <v>7600</v>
      </c>
      <c r="F21" s="31" t="n">
        <v>3000</v>
      </c>
      <c r="G21" s="31" t="n">
        <v>2200</v>
      </c>
      <c r="H21" s="31" t="n">
        <v>1000</v>
      </c>
      <c r="I21" s="31" t="n">
        <v>760</v>
      </c>
    </row>
    <row r="22" customFormat="false" ht="15" hidden="false" customHeight="false" outlineLevel="0" collapsed="false">
      <c r="B22" s="5" t="n">
        <v>5050</v>
      </c>
      <c r="C22" s="5" t="s">
        <v>158</v>
      </c>
      <c r="D22" s="5" t="s">
        <v>247</v>
      </c>
      <c r="E22" s="31" t="n">
        <v>800</v>
      </c>
      <c r="F22" s="31" t="n">
        <v>0</v>
      </c>
      <c r="G22" s="31" t="n">
        <v>0</v>
      </c>
      <c r="H22" s="31" t="n">
        <v>0</v>
      </c>
      <c r="I22" s="31" t="n">
        <v>0</v>
      </c>
    </row>
    <row r="23" customFormat="false" ht="15" hidden="false" customHeight="false" outlineLevel="0" collapsed="false">
      <c r="B23" s="5" t="n">
        <v>6000</v>
      </c>
      <c r="C23" s="5" t="s">
        <v>7</v>
      </c>
      <c r="D23" s="5" t="s">
        <v>247</v>
      </c>
      <c r="E23" s="31" t="n">
        <v>3100</v>
      </c>
      <c r="F23" s="31" t="n">
        <v>950</v>
      </c>
      <c r="G23" s="31" t="n">
        <v>800</v>
      </c>
      <c r="H23" s="31" t="n">
        <v>300</v>
      </c>
      <c r="I23" s="31" t="n">
        <v>230</v>
      </c>
    </row>
    <row r="24" customFormat="false" ht="15" hidden="false" customHeight="false" outlineLevel="0" collapsed="false">
      <c r="B24" s="5" t="n">
        <v>7000</v>
      </c>
      <c r="C24" s="5" t="s">
        <v>11</v>
      </c>
      <c r="D24" s="5" t="s">
        <v>247</v>
      </c>
      <c r="E24" s="31" t="n">
        <v>280</v>
      </c>
      <c r="F24" s="31" t="n">
        <v>60</v>
      </c>
      <c r="G24" s="31" t="n">
        <v>30</v>
      </c>
      <c r="H24" s="31" t="n">
        <v>20</v>
      </c>
      <c r="I24" s="31" t="n">
        <v>10</v>
      </c>
    </row>
    <row r="25" customFormat="false" ht="15" hidden="false" customHeight="false" outlineLevel="0" collapsed="false">
      <c r="B25" s="5" t="n">
        <v>8000</v>
      </c>
      <c r="C25" s="5" t="s">
        <v>13</v>
      </c>
      <c r="D25" s="5" t="s">
        <v>247</v>
      </c>
      <c r="E25" s="31" t="n">
        <v>450</v>
      </c>
      <c r="F25" s="31" t="n">
        <v>250</v>
      </c>
      <c r="G25" s="31" t="n">
        <v>140</v>
      </c>
      <c r="H25" s="31" t="n">
        <v>70</v>
      </c>
      <c r="I25" s="31" t="n">
        <v>50</v>
      </c>
    </row>
    <row r="26" customFormat="false" ht="15" hidden="false" customHeight="false" outlineLevel="0" collapsed="false">
      <c r="C26" s="7" t="s">
        <v>159</v>
      </c>
      <c r="E26" s="8" t="n">
        <f aca="false">SUM(E6:E25)</f>
        <v>0</v>
      </c>
      <c r="F26" s="8" t="n">
        <f aca="false">SUM(F6:F25)</f>
        <v>0</v>
      </c>
      <c r="G26" s="8" t="n">
        <f aca="false">SUM(G6:G25)</f>
        <v>0</v>
      </c>
      <c r="H26" s="8" t="n">
        <f aca="false">SUM(H6:H25)</f>
        <v>0</v>
      </c>
      <c r="I26" s="8" t="n">
        <f aca="false">SUM(I6:I25)</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46"/>
    <col collapsed="false" customWidth="true" hidden="false" outlineLevel="0" max="4" min="4" style="0" width="10"/>
    <col collapsed="false" customWidth="true" hidden="false" outlineLevel="0" max="5" min="5" style="0" width="11"/>
    <col collapsed="false" customWidth="true" hidden="false" outlineLevel="0" max="6" min="6" style="0" width="12"/>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17.35" hidden="false" customHeight="false" outlineLevel="0" collapsed="false">
      <c r="B1" s="1" t="s">
        <v>0</v>
      </c>
    </row>
    <row r="2" customFormat="false" ht="15" hidden="false" customHeight="false" outlineLevel="0" collapsed="false">
      <c r="B2" s="2" t="s">
        <v>248</v>
      </c>
    </row>
    <row r="3" customFormat="false" ht="15" hidden="false" customHeight="false" outlineLevel="0" collapsed="false">
      <c r="B3" s="3" t="s">
        <v>2</v>
      </c>
    </row>
    <row r="5" customFormat="false" ht="46.25" hidden="false" customHeight="false" outlineLevel="0" collapsed="false">
      <c r="B5" s="4" t="s">
        <v>44</v>
      </c>
      <c r="C5" s="4" t="s">
        <v>188</v>
      </c>
      <c r="D5" s="19" t="s">
        <v>189</v>
      </c>
      <c r="E5" s="19" t="s">
        <v>46</v>
      </c>
      <c r="F5" s="19" t="s">
        <v>249</v>
      </c>
      <c r="G5" s="19" t="s">
        <v>250</v>
      </c>
      <c r="H5" s="19" t="s">
        <v>251</v>
      </c>
      <c r="I5" s="19" t="s">
        <v>252</v>
      </c>
      <c r="J5" s="19" t="s">
        <v>253</v>
      </c>
    </row>
    <row r="6" customFormat="false" ht="15" hidden="false" customHeight="false" outlineLevel="0" collapsed="false">
      <c r="B6" s="6" t="s">
        <v>254</v>
      </c>
      <c r="C6" s="6" t="s">
        <v>50</v>
      </c>
      <c r="D6" s="6" t="s">
        <v>191</v>
      </c>
      <c r="E6" s="32" t="n">
        <v>1</v>
      </c>
      <c r="F6" s="31" t="n">
        <v>0</v>
      </c>
      <c r="G6" s="31" t="n">
        <v>0</v>
      </c>
      <c r="H6" s="31"/>
      <c r="I6" s="26"/>
      <c r="J6" s="33" t="n">
        <v>1</v>
      </c>
    </row>
    <row r="7" customFormat="false" ht="15" hidden="false" customHeight="false" outlineLevel="0" collapsed="false">
      <c r="B7" s="6" t="s">
        <v>255</v>
      </c>
      <c r="C7" s="6" t="s">
        <v>55</v>
      </c>
      <c r="D7" s="6" t="s">
        <v>191</v>
      </c>
      <c r="E7" s="32" t="n">
        <v>1</v>
      </c>
      <c r="F7" s="31" t="n">
        <v>2700</v>
      </c>
      <c r="G7" s="31" t="n">
        <v>1200</v>
      </c>
      <c r="H7" s="31"/>
      <c r="I7" s="26" t="s">
        <v>254</v>
      </c>
      <c r="J7" s="33" t="n">
        <f aca="false">E7*J6</f>
        <v>1</v>
      </c>
    </row>
    <row r="8" customFormat="false" ht="15" hidden="false" customHeight="false" outlineLevel="0" collapsed="false">
      <c r="B8" s="6" t="s">
        <v>256</v>
      </c>
      <c r="C8" s="6" t="s">
        <v>60</v>
      </c>
      <c r="D8" s="6" t="s">
        <v>257</v>
      </c>
      <c r="E8" s="32" t="n">
        <v>0.8</v>
      </c>
      <c r="F8" s="31" t="n">
        <v>880</v>
      </c>
      <c r="G8" s="31" t="n">
        <v>0</v>
      </c>
      <c r="H8" s="31" t="n">
        <v>460</v>
      </c>
      <c r="I8" s="26" t="s">
        <v>254</v>
      </c>
      <c r="J8" s="33" t="n">
        <f aca="false">E8*J6</f>
        <v>0.8</v>
      </c>
    </row>
    <row r="9" customFormat="false" ht="15" hidden="false" customHeight="false" outlineLevel="0" collapsed="false">
      <c r="B9" s="6" t="s">
        <v>258</v>
      </c>
      <c r="C9" s="6" t="s">
        <v>65</v>
      </c>
      <c r="D9" s="6" t="s">
        <v>259</v>
      </c>
      <c r="E9" s="32" t="n">
        <v>0.7</v>
      </c>
      <c r="F9" s="31" t="n">
        <v>600</v>
      </c>
      <c r="G9" s="31" t="n">
        <v>100</v>
      </c>
      <c r="H9" s="31" t="n">
        <v>377</v>
      </c>
      <c r="I9" s="26" t="s">
        <v>255</v>
      </c>
      <c r="J9" s="33" t="n">
        <f aca="false">E9*J7</f>
        <v>0.7</v>
      </c>
    </row>
    <row r="10" customFormat="false" ht="15" hidden="false" customHeight="false" outlineLevel="0" collapsed="false">
      <c r="B10" s="6" t="s">
        <v>260</v>
      </c>
      <c r="C10" s="6" t="s">
        <v>68</v>
      </c>
      <c r="D10" s="6" t="s">
        <v>257</v>
      </c>
      <c r="E10" s="32" t="n">
        <v>0.75</v>
      </c>
      <c r="F10" s="31" t="n">
        <v>450</v>
      </c>
      <c r="G10" s="31" t="n">
        <v>100</v>
      </c>
      <c r="H10" s="31" t="n">
        <v>241</v>
      </c>
      <c r="I10" s="26" t="s">
        <v>256</v>
      </c>
      <c r="J10" s="33" t="n">
        <f aca="false">E10*J8</f>
        <v>0.6</v>
      </c>
    </row>
    <row r="13" customFormat="false" ht="15" hidden="false" customHeight="false" outlineLevel="0" collapsed="false">
      <c r="B13" s="4" t="s">
        <v>189</v>
      </c>
      <c r="C13" s="4"/>
      <c r="D13" s="19" t="s">
        <v>261</v>
      </c>
      <c r="E13" s="19" t="s">
        <v>262</v>
      </c>
      <c r="F13" s="19" t="s">
        <v>263</v>
      </c>
    </row>
    <row r="14" customFormat="false" ht="15" hidden="false" customHeight="false" outlineLevel="0" collapsed="false">
      <c r="B14" s="5" t="s">
        <v>191</v>
      </c>
      <c r="D14" s="34" t="n">
        <v>1</v>
      </c>
      <c r="E14" s="34" t="n">
        <v>1</v>
      </c>
      <c r="F14" s="34" t="n">
        <v>1</v>
      </c>
    </row>
    <row r="15" customFormat="false" ht="15" hidden="false" customHeight="false" outlineLevel="0" collapsed="false">
      <c r="B15" s="5" t="s">
        <v>257</v>
      </c>
      <c r="D15" s="34" t="n">
        <v>1.08</v>
      </c>
      <c r="E15" s="34" t="n">
        <v>1.09</v>
      </c>
      <c r="F15" s="34" t="n">
        <v>1.1</v>
      </c>
    </row>
    <row r="16" customFormat="false" ht="15" hidden="false" customHeight="false" outlineLevel="0" collapsed="false">
      <c r="B16" s="5" t="s">
        <v>190</v>
      </c>
      <c r="D16" s="34" t="n">
        <v>0.2723</v>
      </c>
      <c r="E16" s="34" t="n">
        <v>0.2723</v>
      </c>
      <c r="F16" s="34" t="n">
        <v>0.2723</v>
      </c>
    </row>
    <row r="17" customFormat="false" ht="15" hidden="false" customHeight="false" outlineLevel="0" collapsed="false">
      <c r="B17" s="5" t="s">
        <v>259</v>
      </c>
      <c r="D17" s="34" t="n">
        <v>1.27</v>
      </c>
      <c r="E17" s="34" t="n">
        <v>1.28</v>
      </c>
      <c r="F17" s="34" t="n">
        <v>1.25</v>
      </c>
    </row>
    <row r="20" customFormat="false" ht="23.85" hidden="false" customHeight="false" outlineLevel="0" collapsed="false">
      <c r="B20" s="4" t="s">
        <v>239</v>
      </c>
      <c r="C20" s="4" t="s">
        <v>162</v>
      </c>
      <c r="D20" s="19" t="s">
        <v>264</v>
      </c>
      <c r="E20" s="19" t="s">
        <v>265</v>
      </c>
      <c r="F20" s="19" t="s">
        <v>266</v>
      </c>
    </row>
    <row r="21" customFormat="false" ht="15" hidden="false" customHeight="false" outlineLevel="0" collapsed="false">
      <c r="B21" s="5" t="s">
        <v>267</v>
      </c>
      <c r="C21" s="5" t="s">
        <v>268</v>
      </c>
      <c r="D21" s="5" t="s">
        <v>255</v>
      </c>
      <c r="E21" s="5" t="s">
        <v>254</v>
      </c>
      <c r="F21" s="31" t="n">
        <v>150</v>
      </c>
    </row>
    <row r="22" customFormat="false" ht="15" hidden="false" customHeight="false" outlineLevel="0" collapsed="false">
      <c r="B22" s="5" t="s">
        <v>267</v>
      </c>
      <c r="C22" s="5" t="s">
        <v>269</v>
      </c>
      <c r="D22" s="5" t="s">
        <v>254</v>
      </c>
      <c r="E22" s="5" t="s">
        <v>256</v>
      </c>
      <c r="F22" s="31" t="n">
        <v>540</v>
      </c>
    </row>
    <row r="23" customFormat="false" ht="15" hidden="false" customHeight="false" outlineLevel="0" collapsed="false">
      <c r="B23" s="5" t="s">
        <v>270</v>
      </c>
      <c r="C23" s="5" t="s">
        <v>271</v>
      </c>
      <c r="D23" s="5" t="s">
        <v>255</v>
      </c>
      <c r="E23" s="5" t="s">
        <v>254</v>
      </c>
      <c r="F23" s="31" t="n">
        <v>800</v>
      </c>
    </row>
    <row r="24" customFormat="false" ht="15" hidden="false" customHeight="false" outlineLevel="0" collapsed="false">
      <c r="B24" s="5" t="s">
        <v>272</v>
      </c>
      <c r="C24" s="5" t="s">
        <v>273</v>
      </c>
      <c r="D24" s="5" t="s">
        <v>255</v>
      </c>
      <c r="E24" s="5" t="s">
        <v>254</v>
      </c>
      <c r="F24" s="31" t="n">
        <v>50</v>
      </c>
    </row>
    <row r="25" customFormat="false" ht="15" hidden="false" customHeight="false" outlineLevel="0" collapsed="false">
      <c r="B25" s="5" t="s">
        <v>274</v>
      </c>
      <c r="C25" s="5" t="s">
        <v>275</v>
      </c>
      <c r="D25" s="5" t="s">
        <v>254</v>
      </c>
      <c r="E25" s="5" t="s">
        <v>185</v>
      </c>
      <c r="F25" s="31" t="n">
        <v>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276</v>
      </c>
    </row>
    <row r="3" customFormat="false" ht="15" hidden="false" customHeight="false" outlineLevel="0" collapsed="false">
      <c r="B3" s="3" t="s">
        <v>2</v>
      </c>
    </row>
    <row r="6" customFormat="false" ht="15" hidden="false" customHeight="false" outlineLevel="0" collapsed="false">
      <c r="B6" s="5" t="s">
        <v>277</v>
      </c>
      <c r="C6" s="6" t="n">
        <f aca="false">ROUND(ABS('Trial Balances'!E26)+ABS('Trial Balances'!F26)+ABS('Trial Balances'!G26)+ABS('Trial Balances'!H26)+ABS('Trial Balances'!I26),2)</f>
        <v>0</v>
      </c>
    </row>
    <row r="7" customFormat="false" ht="15" hidden="false" customHeight="false" outlineLevel="0" collapsed="false">
      <c r="B7" s="5" t="s">
        <v>278</v>
      </c>
      <c r="C7" s="6" t="n">
        <f aca="false">ROUND(ABS(Eliminations!F65),2)</f>
        <v>0</v>
      </c>
    </row>
    <row r="8" customFormat="false" ht="15" hidden="false" customHeight="false" outlineLevel="0" collapsed="false">
      <c r="B8" s="5" t="s">
        <v>279</v>
      </c>
      <c r="C8" s="6" t="n">
        <f aca="false">ROUND(ABS(Consolidation!K30),2)</f>
        <v>0</v>
      </c>
    </row>
    <row r="9" customFormat="false" ht="15" hidden="false" customHeight="false" outlineLevel="0" collapsed="false">
      <c r="B9" s="5" t="s">
        <v>280</v>
      </c>
      <c r="C9" s="6" t="n">
        <f aca="false">ROUND(ABS(Consolidation!K8)+ABS(Consolidation!K15),2)</f>
        <v>0</v>
      </c>
    </row>
    <row r="10" customFormat="false" ht="15" hidden="false" customHeight="false" outlineLevel="0" collapsed="false">
      <c r="B10" s="5" t="s">
        <v>281</v>
      </c>
      <c r="C10" s="6" t="n">
        <f aca="false">ROUND(ABS(Consolidation!K22)+ABS(Consolidation!K26),2)</f>
        <v>0</v>
      </c>
    </row>
    <row r="11" customFormat="false" ht="15" hidden="false" customHeight="false" outlineLevel="0" collapsed="false">
      <c r="B11" s="5" t="s">
        <v>282</v>
      </c>
      <c r="C11" s="6" t="n">
        <f aca="false">ROUND(ABS(Consolidation!K11),2)</f>
        <v>0</v>
      </c>
    </row>
    <row r="12" customFormat="false" ht="15" hidden="false" customHeight="false" outlineLevel="0" collapsed="false">
      <c r="B12" s="5" t="s">
        <v>283</v>
      </c>
      <c r="C12" s="6" t="n">
        <f aca="false">ROUND(ABS(Consolidation!K23),2)</f>
        <v>0</v>
      </c>
    </row>
    <row r="13" customFormat="false" ht="15" hidden="false" customHeight="false" outlineLevel="0" collapsed="false">
      <c r="B13" s="5" t="s">
        <v>284</v>
      </c>
      <c r="C13" s="6" t="n">
        <f aca="false">ROUND(ABS(Consolidation!K12-Associates!F31),2)</f>
        <v>0</v>
      </c>
    </row>
    <row r="14" customFormat="false" ht="15" hidden="false" customHeight="false" outlineLevel="0" collapsed="false">
      <c r="B14" s="5" t="s">
        <v>285</v>
      </c>
      <c r="C14" s="6" t="n">
        <f aca="false">ROUND(ABS(Associates!F39),2)</f>
        <v>0</v>
      </c>
    </row>
    <row r="15" customFormat="false" ht="15" hidden="false" customHeight="false" outlineLevel="0" collapsed="false">
      <c r="B15" s="5" t="s">
        <v>286</v>
      </c>
      <c r="C15" s="6" t="n">
        <f aca="false">ROUND(ABS('Consolidated BS'!C29),2)</f>
        <v>0</v>
      </c>
    </row>
    <row r="17" customFormat="false" ht="15" hidden="false" customHeight="false" outlineLevel="0" collapsed="false">
      <c r="B17" s="7" t="s">
        <v>287</v>
      </c>
      <c r="C17" s="7" t="str">
        <f aca="false">IF(SUM(C6:C15)=0,"OK","ERROR")</f>
        <v>OK</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2026-10-20T12:06:42Z</dcterms:created>
  <dc:creator>openpyxl</dc:creator>
  <dc:description/>
  <dc:language>en-US</dc:language>
  <cp:lastModifiedBy/>
  <dcterms:modified xsi:type="dcterms:W3CDTF">2026-10-20T12:06:43Z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