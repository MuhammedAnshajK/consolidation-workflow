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IS" sheetId="1" state="visible" r:id="rId3"/>
    <sheet name="Consolidated BS" sheetId="2" state="visible" r:id="rId4"/>
    <sheet name="IFRS Treatment" sheetId="3" state="visible" r:id="rId5"/>
    <sheet name="Consolidation" sheetId="4" state="visible" r:id="rId6"/>
    <sheet name="Eliminations" sheetId="5" state="visible" r:id="rId7"/>
    <sheet name="Associates" sheetId="6" state="visible" r:id="rId8"/>
    <sheet name="Translation" sheetId="7" state="visible" r:id="rId9"/>
    <sheet name="Trial Balances" sheetId="8" state="visible" r:id="rId10"/>
    <sheet name="Inputs" sheetId="9" state="visible" r:id="rId11"/>
    <sheet name="Check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<sst xmlns="http://schemas.openxmlformats.org/spreadsheetml/2006/main" count="448" uniqueCount="257">
  <si>
    <t xml:space="preserve">Illustrative Group</t>
  </si>
  <si>
    <t xml:space="preserve">Consolidated income statement for the year ended 31 December 2025</t>
  </si>
  <si>
    <t xml:space="preserve">USD thousands</t>
  </si>
  <si>
    <t xml:space="preserve">2025</t>
  </si>
  <si>
    <t xml:space="preserve">Revenue</t>
  </si>
  <si>
    <t xml:space="preserve">Cost of sales</t>
  </si>
  <si>
    <t xml:space="preserve">Gross profit</t>
  </si>
  <si>
    <t xml:space="preserve">Operating expenses</t>
  </si>
  <si>
    <t xml:space="preserve">Operating profit</t>
  </si>
  <si>
    <t xml:space="preserve">Share of profit of associates (equity method)</t>
  </si>
  <si>
    <t xml:space="preserve">Dividend income from associates (eliminated)</t>
  </si>
  <si>
    <t xml:space="preserve">Interest expense</t>
  </si>
  <si>
    <t xml:space="preserve">Profit before tax</t>
  </si>
  <si>
    <t xml:space="preserve">Income tax expense</t>
  </si>
  <si>
    <t xml:space="preserve">Profit for the year</t>
  </si>
  <si>
    <t xml:space="preserve">Attributable to owners of the parent</t>
  </si>
  <si>
    <t xml:space="preserve">Attributable to non-controlling interests</t>
  </si>
  <si>
    <t xml:space="preserve">Unrealised profit is eliminated in full against the seller (Sub One, 100% owned), so it has no NCI effect.</t>
  </si>
  <si>
    <t xml:space="preserve">Share of profit of associates is after tax and after the impairment loss (see the Associates sheet). The group's share of unrealised profit on sales to associates is charged to cost of sales.</t>
  </si>
  <si>
    <t xml:space="preserve">Consolidated balance sheet at 31 December 2025</t>
  </si>
  <si>
    <t xml:space="preserve">Goodwill</t>
  </si>
  <si>
    <t xml:space="preserve">Property, plant and equipment</t>
  </si>
  <si>
    <t xml:space="preserve">Investments in associates (equity method)</t>
  </si>
  <si>
    <t xml:space="preserve">Total non-current assets</t>
  </si>
  <si>
    <t xml:space="preserve">Inventory</t>
  </si>
  <si>
    <t xml:space="preserve">Trade receivables</t>
  </si>
  <si>
    <t xml:space="preserve">Intercompany receivable (eliminated)</t>
  </si>
  <si>
    <t xml:space="preserve">Cash</t>
  </si>
  <si>
    <t xml:space="preserve">Total current assets</t>
  </si>
  <si>
    <t xml:space="preserve">Total assets</t>
  </si>
  <si>
    <t xml:space="preserve">Share capital</t>
  </si>
  <si>
    <t xml:space="preserve">Retained earnings</t>
  </si>
  <si>
    <t xml:space="preserve">Translation reserve</t>
  </si>
  <si>
    <t xml:space="preserve">Equity attributable to owners of the parent</t>
  </si>
  <si>
    <t xml:space="preserve">Non-controlling interests</t>
  </si>
  <si>
    <t xml:space="preserve">Total equity</t>
  </si>
  <si>
    <t xml:space="preserve">Borrowings</t>
  </si>
  <si>
    <t xml:space="preserve">Trade payables</t>
  </si>
  <si>
    <t xml:space="preserve">Intercompany payable (eliminated)</t>
  </si>
  <si>
    <t xml:space="preserve">Total liabilities</t>
  </si>
  <si>
    <t xml:space="preserve">Total equity and liabilities</t>
  </si>
  <si>
    <t xml:space="preserve">Check: assets less equity and liabilities</t>
  </si>
  <si>
    <t xml:space="preserve">How each entity is treated under IFRS</t>
  </si>
  <si>
    <t xml:space="preserve">Group structure and accounting basis</t>
  </si>
  <si>
    <t xml:space="preserve">Entity</t>
  </si>
  <si>
    <t xml:space="preserve">Relationship</t>
  </si>
  <si>
    <t xml:space="preserve">Ownership</t>
  </si>
  <si>
    <t xml:space="preserve">Standards</t>
  </si>
  <si>
    <t xml:space="preserve">Method</t>
  </si>
  <si>
    <t xml:space="preserve">How it is treated in this workbook</t>
  </si>
  <si>
    <t xml:space="preserve">Parent Co.</t>
  </si>
  <si>
    <t xml:space="preserve">Parent and reporting entity</t>
  </si>
  <si>
    <t xml:space="preserve">IFRS 10, IAS 1</t>
  </si>
  <si>
    <t xml:space="preserve">Prepares the consolidated statements</t>
  </si>
  <si>
    <t xml:space="preserve">Combined in full. Functional and presentation currency USD.</t>
  </si>
  <si>
    <t xml:space="preserve">Subsidiary One (US)</t>
  </si>
  <si>
    <t xml:space="preserve">Subsidiary: 100% of the voting rights gives control</t>
  </si>
  <si>
    <t xml:space="preserve">IFRS 10, IFRS 3</t>
  </si>
  <si>
    <t xml:space="preserve">Full consolidation (acquisition method)</t>
  </si>
  <si>
    <t xml:space="preserve">Combined line by line. The investment is eliminated against share capital and pre-acquisition reserves; any excess of cost is goodwill.</t>
  </si>
  <si>
    <t xml:space="preserve">Subsidiary Two (Germany)</t>
  </si>
  <si>
    <t xml:space="preserve">Subsidiary: 80% of the voting rights (a majority) gives control</t>
  </si>
  <si>
    <t xml:space="preserve">IFRS 10, IFRS 3, IAS 21</t>
  </si>
  <si>
    <t xml:space="preserve">Full consolidation (acquisition method) with NCI</t>
  </si>
  <si>
    <t xml:space="preserve">Translated from EUR to USD first. Combined line by line. The investment is eliminated against share capital and pre-acquisition reserves; any excess of cost is goodwill. The other 20% is a non-controlling interest, shown in equity, with its share of profit and translation differences.</t>
  </si>
  <si>
    <t xml:space="preserve">Associate One (UAE)</t>
  </si>
  <si>
    <t xml:space="preserve">Associate: 30% of the voting rights: presumed significant influence, not control</t>
  </si>
  <si>
    <t xml:space="preserve">IAS 28, IAS 21</t>
  </si>
  <si>
    <t xml:space="preserve">Equity method</t>
  </si>
  <si>
    <t xml:space="preserve">Not combined line by line. One line on the balance sheet (investment at cost plus share of post-acquisition profits, less dividends received) and one line in the income statement (share of profit). Goodwill stays inside the investment. Only the group's share of unrealised profit on trading with the associate is eliminated. Its results are translated from AED.</t>
  </si>
  <si>
    <t xml:space="preserve">Associate Two (US)</t>
  </si>
  <si>
    <t xml:space="preserve">Associate: 25% of the voting rights: presumed significant influence, not control</t>
  </si>
  <si>
    <t xml:space="preserve">IAS 28, IAS 36</t>
  </si>
  <si>
    <t xml:space="preserve">Not combined line by line. One line on the balance sheet (investment at cost plus share of post-acquisition profits, less dividends received) and one line in the income statement (share of profit). Goodwill stays inside the investment. Only the group's share of unrealised profit on trading with the associate is eliminated. The whole investment was tested for impairment under IAS 36 and written down.</t>
  </si>
  <si>
    <t xml:space="preserve">Consolidation procedures and IFRS references</t>
  </si>
  <si>
    <t xml:space="preserve">Step</t>
  </si>
  <si>
    <t xml:space="preserve">IFRS reference</t>
  </si>
  <si>
    <t xml:space="preserve">What the workbook does</t>
  </si>
  <si>
    <t xml:space="preserve">1. Control (subsidiaries)</t>
  </si>
  <si>
    <t xml:space="preserve">IFRS 10.6-7, B35</t>
  </si>
  <si>
    <t xml:space="preserve">An investor controls an investee when it has power over it, is exposed to variable returns from it and can use its power to affect those returns. Both subsidiaries are controlled through a majority of the voting rights, so they are consolidated from the date control was obtained.</t>
  </si>
  <si>
    <t xml:space="preserve">2. Significant influence (associates)</t>
  </si>
  <si>
    <t xml:space="preserve">IAS 28.3, 28.5-6</t>
  </si>
  <si>
    <t xml:space="preserve">Significant influence is the power to take part in financial and operating policy decisions without control. A holding of 20% or more of the voting power is presumed to give it, and board representation is typical evidence. Both associates are held at 25% to 30%.</t>
  </si>
  <si>
    <t xml:space="preserve">3. Uniform policies and reporting date</t>
  </si>
  <si>
    <t xml:space="preserve">IFRS 10.B87, B92-B93; IAS 28.33-36</t>
  </si>
  <si>
    <t xml:space="preserve">All entities use the group's IFRS accounting policies and a 31 December year end, so no alignment adjustments are needed. A different year end would need adjusting for significant transactions and may differ by no more than three months.</t>
  </si>
  <si>
    <t xml:space="preserve">4. Foreign currency translation</t>
  </si>
  <si>
    <t xml:space="preserve">IAS 21.39-41, 21.44; IAS 28.10</t>
  </si>
  <si>
    <t xml:space="preserve">Subsidiary Two (EUR) is translated into USD: assets and liabilities at the closing rate, income and expenses at the average rate (an approximation of transaction-date rates) and share capital at the historical rate. The difference goes to the translation reserve in other comprehensive income, and the NCI's share is allocated to NCI. Associate One reports in AED, which is pegged to the USD, so no exchange difference arises; for a floating currency it would also go to the translation reserve.</t>
  </si>
  <si>
    <t xml:space="preserve">5. Combine line by line (subsidiaries only)</t>
  </si>
  <si>
    <t xml:space="preserve">IFRS 10.B86(a)</t>
  </si>
  <si>
    <t xml:space="preserve">The assets, liabilities, income and expenses of the parent and its subsidiaries are added together in full, even where the group owns less than 100%.</t>
  </si>
  <si>
    <t xml:space="preserve">6. Eliminate the investment; goodwill</t>
  </si>
  <si>
    <t xml:space="preserve">IFRS 10.B86(b); IFRS 3.32; IAS 36.90</t>
  </si>
  <si>
    <t xml:space="preserve">The parent's investment in each subsidiary is offset against its share of the subsidiary's equity at acquisition. Any excess is goodwill, which is not amortised but tested for impairment at least every year.</t>
  </si>
  <si>
    <t xml:space="preserve">7. Non-controlling interests</t>
  </si>
  <si>
    <t xml:space="preserve">IFRS 3.19; IFRS 10.22, B94</t>
  </si>
  <si>
    <t xml:space="preserve">NCI is measured at its proportionate share of the subsidiary's identifiable net assets (the IFRS 3 choice made here, so no goodwill is attributed to NCI). It is shown in equity, separately from the parent's equity, and receives its share of profit and of translation differences.</t>
  </si>
  <si>
    <t xml:space="preserve">8. Intragroup transactions</t>
  </si>
  <si>
    <t xml:space="preserve">IFRS 10.B86(c)</t>
  </si>
  <si>
    <t xml:space="preserve">Intragroup balances, sales, purchases and unrealised profit in closing inventory are eliminated in full. The unrealised profit is charged to the selling entity; the seller is 100% owned, so NCI is not affected.</t>
  </si>
  <si>
    <t xml:space="preserve">9. Equity method (associates)</t>
  </si>
  <si>
    <t xml:space="preserve">IAS 28.10, 28.16</t>
  </si>
  <si>
    <t xml:space="preserve">An associate is not combined line by line. The investment is recognised at cost and then increased or decreased by the group's share of the associate's profit or loss after acquisition. Dividends received reduce the carrying amount instead of being income, so the parent's dividend income is reversed.</t>
  </si>
  <si>
    <t xml:space="preserve">10. Goodwill on associates</t>
  </si>
  <si>
    <t xml:space="preserve">IAS 28.32, 28.42</t>
  </si>
  <si>
    <t xml:space="preserve">The excess of cost over the group's share of the associate's net assets is included in the carrying amount of the investment. It is not shown separately, not amortised and not tested for impairment on its own.</t>
  </si>
  <si>
    <t xml:space="preserve">11. Transactions with associates</t>
  </si>
  <si>
    <t xml:space="preserve">IAS 28.28-29</t>
  </si>
  <si>
    <t xml:space="preserve">Only the group's share of unrealised profit on sales between the group and an associate is eliminated. For a sale to the associate (downstream) it reduces the investment; for a purchase from the associate (upstream) it reduces group inventory. Balances with associates are not eliminated, because associates are outside the group.</t>
  </si>
  <si>
    <t xml:space="preserve">12. Impairment of associates</t>
  </si>
  <si>
    <t xml:space="preserve">IAS 28.40-43; IAS 36</t>
  </si>
  <si>
    <t xml:space="preserve">After applying the equity method, the group checks for objective evidence of impairment. If there is, the whole carrying amount is tested as a single asset under IAS 36 and any loss reduces the investment. Associate Two carries an impairment loss.</t>
  </si>
  <si>
    <t xml:space="preserve">13. Losses of associates</t>
  </si>
  <si>
    <t xml:space="preserve">IAS 28.38-39</t>
  </si>
  <si>
    <t xml:space="preserve">If the group's share of losses equals or exceeds its interest, it stops recognising further losses unless it has an obligation to fund them. Not triggered here.</t>
  </si>
  <si>
    <t xml:space="preserve">14. Presentation</t>
  </si>
  <si>
    <t xml:space="preserve">IAS 1.54(e), 1.82(c), 1.81B; IFRS 10.22</t>
  </si>
  <si>
    <t xml:space="preserve">Investments in associates and the share of their profit are separate line items. Profit and equity are split between owners of the parent and NCI.</t>
  </si>
  <si>
    <t xml:space="preserve">15. Disclosure</t>
  </si>
  <si>
    <t xml:space="preserve">IFRS 12.21, B12-B14</t>
  </si>
  <si>
    <t xml:space="preserve">Summarised financial information for each material associate and a reconciliation to its carrying amount (shown on the Associates sheet).</t>
  </si>
  <si>
    <t xml:space="preserve">16. IFRS 18 (from 2027)</t>
  </si>
  <si>
    <t xml:space="preserve">IFRS 18</t>
  </si>
  <si>
    <t xml:space="preserve">IFRS 18 replaces IAS 1 for periods beginning on or after 1 January 2027. The share of profit of associates will then sit in the investing category, outside operating profit, as it already does in this income statement. These 2025 statements follow IAS 1.</t>
  </si>
  <si>
    <t xml:space="preserve">Paragraph references are to the IFRS Accounting Standards as issued by the IASB.</t>
  </si>
  <si>
    <t xml:space="preserve">Consolidation worksheet (debit +, credit -)</t>
  </si>
  <si>
    <t xml:space="preserve">Code</t>
  </si>
  <si>
    <t xml:space="preserve">Account</t>
  </si>
  <si>
    <t xml:space="preserve">PARENT (USD)</t>
  </si>
  <si>
    <t xml:space="preserve">SUB1 (USD)</t>
  </si>
  <si>
    <t xml:space="preserve">SUB2 (USD)</t>
  </si>
  <si>
    <t xml:space="preserve">Aggregate</t>
  </si>
  <si>
    <t xml:space="preserve">Eliminations</t>
  </si>
  <si>
    <t xml:space="preserve">Consolidated</t>
  </si>
  <si>
    <t xml:space="preserve">Intercompany receivable</t>
  </si>
  <si>
    <t xml:space="preserve">Investment in subsidiaries</t>
  </si>
  <si>
    <t xml:space="preserve">Investment in associates</t>
  </si>
  <si>
    <t xml:space="preserve">Intercompany payable</t>
  </si>
  <si>
    <t xml:space="preserve">Retained earnings (opening)</t>
  </si>
  <si>
    <t xml:space="preserve">Intercompany revenue</t>
  </si>
  <si>
    <t xml:space="preserve">Dividend income from associates</t>
  </si>
  <si>
    <t xml:space="preserve">Share of profit of associates</t>
  </si>
  <si>
    <t xml:space="preserve">Intercompany purchases</t>
  </si>
  <si>
    <t xml:space="preserve">Check (should be zero)</t>
  </si>
  <si>
    <t xml:space="preserve">Consolidation adjustments (debit +, credit -)</t>
  </si>
  <si>
    <t xml:space="preserve">#</t>
  </si>
  <si>
    <t xml:space="preserve">Description</t>
  </si>
  <si>
    <t xml:space="preserve">Amount</t>
  </si>
  <si>
    <t xml:space="preserve">Investment in Subsidiary One (US)</t>
  </si>
  <si>
    <t xml:space="preserve">Investment in Subsidiary Two (Germany)</t>
  </si>
  <si>
    <t xml:space="preserve">NCI share of Subsidiary Two (Germany) post-acquisition reserves</t>
  </si>
  <si>
    <t xml:space="preserve">Intercompany balance: Parent owes Sub One for goods bought</t>
  </si>
  <si>
    <t xml:space="preserve">Intercompany balance: Loan from Parent to Sub Two (EUR 500)</t>
  </si>
  <si>
    <t xml:space="preserve">Intercompany sale: Goods sold by Sub One to Parent</t>
  </si>
  <si>
    <t xml:space="preserve">Unrealised profit in inventory: Parent still holds 200 of goods from Sub One; Sub One margin 25%</t>
  </si>
  <si>
    <t xml:space="preserve">Associate One (UAE): share of post-acquisition reserves at 1 January</t>
  </si>
  <si>
    <t xml:space="preserve">Associate One (UAE): share of profit for the year</t>
  </si>
  <si>
    <t xml:space="preserve">Associate One (UAE): dividends received reduce the investment</t>
  </si>
  <si>
    <t xml:space="preserve">Associate One (UAE): share of unrealised profit on sales to the associate</t>
  </si>
  <si>
    <t xml:space="preserve">Associate Two (US): share of post-acquisition reserves at 1 January</t>
  </si>
  <si>
    <t xml:space="preserve">Associate Two (US): share of profit for the year</t>
  </si>
  <si>
    <t xml:space="preserve">Associate Two (US): dividends received reduce the investment</t>
  </si>
  <si>
    <t xml:space="preserve">Associate Two (US): impairment of the investment</t>
  </si>
  <si>
    <t xml:space="preserve">Total (should be zero)</t>
  </si>
  <si>
    <t xml:space="preserve">Associates: equity method (IAS 28)</t>
  </si>
  <si>
    <t xml:space="preserve">ASSOC1</t>
  </si>
  <si>
    <t xml:space="preserve">ASSOC2</t>
  </si>
  <si>
    <t xml:space="preserve">Total</t>
  </si>
  <si>
    <t xml:space="preserve">Name</t>
  </si>
  <si>
    <t xml:space="preserve">Currency</t>
  </si>
  <si>
    <t xml:space="preserve">AED</t>
  </si>
  <si>
    <t xml:space="preserve">USD</t>
  </si>
  <si>
    <t xml:space="preserve">Cost of investment (USD)</t>
  </si>
  <si>
    <t xml:space="preserve">Net assets at acquisition (local currency)</t>
  </si>
  <si>
    <t xml:space="preserve">Retained earnings at acquisition (local currency)</t>
  </si>
  <si>
    <t xml:space="preserve">Retained earnings at 1 January 2025 (local currency)</t>
  </si>
  <si>
    <t xml:space="preserve">Profit for the year (local currency)</t>
  </si>
  <si>
    <t xml:space="preserve">Dividends paid by the associate (local currency)</t>
  </si>
  <si>
    <t xml:space="preserve">Impairment loss from IAS 36 test (USD)</t>
  </si>
  <si>
    <t xml:space="preserve">Historical rate</t>
  </si>
  <si>
    <t xml:space="preserve">Average rate</t>
  </si>
  <si>
    <t xml:space="preserve">Closing rate</t>
  </si>
  <si>
    <t xml:space="preserve">Equity method (USD)</t>
  </si>
  <si>
    <t xml:space="preserve">Group share of net assets at acquisition</t>
  </si>
  <si>
    <t xml:space="preserve">Goodwill included in the investment (cost less share of net assets)</t>
  </si>
  <si>
    <t xml:space="preserve">Cost of investment</t>
  </si>
  <si>
    <t xml:space="preserve">Share of post-acquisition retained earnings to 1 January</t>
  </si>
  <si>
    <t xml:space="preserve">Carrying amount at 1 January 2025</t>
  </si>
  <si>
    <t xml:space="preserve">Share of profit for the year</t>
  </si>
  <si>
    <t xml:space="preserve">Dividends received (reduce the investment)</t>
  </si>
  <si>
    <t xml:space="preserve">Impairment loss</t>
  </si>
  <si>
    <t xml:space="preserve">Group share of unrealised profit on sales to the associate (downstream)</t>
  </si>
  <si>
    <t xml:space="preserve">Carrying amount at 31 December 2025</t>
  </si>
  <si>
    <t xml:space="preserve">Reconciliation to the associate's net assets (IFRS 12)</t>
  </si>
  <si>
    <t xml:space="preserve">Associate's net assets at 31 December (local currency)</t>
  </si>
  <si>
    <t xml:space="preserve">Group share at closing rate</t>
  </si>
  <si>
    <t xml:space="preserve">Unrealised profit (downstream)</t>
  </si>
  <si>
    <t xml:space="preserve">Exchange difference (zero for USD and the pegged AED)</t>
  </si>
  <si>
    <t xml:space="preserve">Memo: share of upstream unrealised profit (reduces group inventory)</t>
  </si>
  <si>
    <t xml:space="preserve">The group does not combine an associate line by line. It carries one investment line, measured at cost plus its share of post-acquisition profits, less dividends, impairment and its share of unrealised profit. Balances with associates are not eliminated, because associates are outside the group.</t>
  </si>
  <si>
    <t xml:space="preserve">Translation into USD</t>
  </si>
  <si>
    <t xml:space="preserve">PARENT local</t>
  </si>
  <si>
    <t xml:space="preserve">PARENT rate</t>
  </si>
  <si>
    <t xml:space="preserve">PARENT USD</t>
  </si>
  <si>
    <t xml:space="preserve">SUB1 local</t>
  </si>
  <si>
    <t xml:space="preserve">SUB1 rate</t>
  </si>
  <si>
    <t xml:space="preserve">SUB1 USD</t>
  </si>
  <si>
    <t xml:space="preserve">SUB2 local</t>
  </si>
  <si>
    <t xml:space="preserve">SUB2 rate</t>
  </si>
  <si>
    <t xml:space="preserve">SUB2 USD</t>
  </si>
  <si>
    <t xml:space="preserve">Assets and liabilities at closing rate, income and expenses at average rate, share capital at historical rate, opening retained earnings at the USD amount carried forward. The translation reserve balances the translated trial balance.</t>
  </si>
  <si>
    <t xml:space="preserve">Entity trial balances in local currency (debit +, credit -)</t>
  </si>
  <si>
    <t xml:space="preserve">thousands of local currency</t>
  </si>
  <si>
    <t xml:space="preserve">Type</t>
  </si>
  <si>
    <t xml:space="preserve">SUB2 (EUR)</t>
  </si>
  <si>
    <t xml:space="preserve">A</t>
  </si>
  <si>
    <t xml:space="preserve">L</t>
  </si>
  <si>
    <t xml:space="preserve">E</t>
  </si>
  <si>
    <t xml:space="preserve">I</t>
  </si>
  <si>
    <t xml:space="preserve">X</t>
  </si>
  <si>
    <t xml:space="preserve">Group structure, exchange rates and intercompany data</t>
  </si>
  <si>
    <t xml:space="preserve">Investment cost</t>
  </si>
  <si>
    <t xml:space="preserve">Pre-acq. retained earnings</t>
  </si>
  <si>
    <t xml:space="preserve">Opening RE (USD)</t>
  </si>
  <si>
    <t xml:space="preserve">PARENT</t>
  </si>
  <si>
    <t xml:space="preserve">SUB1</t>
  </si>
  <si>
    <t xml:space="preserve">SUB2</t>
  </si>
  <si>
    <t xml:space="preserve">EUR</t>
  </si>
  <si>
    <t xml:space="preserve">Closing</t>
  </si>
  <si>
    <t xml:space="preserve">Average</t>
  </si>
  <si>
    <t xml:space="preserve">Historical</t>
  </si>
  <si>
    <t xml:space="preserve">From</t>
  </si>
  <si>
    <t xml:space="preserve">To</t>
  </si>
  <si>
    <t xml:space="preserve">Amount (USD)</t>
  </si>
  <si>
    <t xml:space="preserve">balance</t>
  </si>
  <si>
    <t xml:space="preserve">Parent owes Sub One for goods bought</t>
  </si>
  <si>
    <t xml:space="preserve">Loan from Parent to Sub Two (EUR 500)</t>
  </si>
  <si>
    <t xml:space="preserve">sale</t>
  </si>
  <si>
    <t xml:space="preserve">Goods sold by Sub One to Parent</t>
  </si>
  <si>
    <t xml:space="preserve">unrealised_profit</t>
  </si>
  <si>
    <t xml:space="preserve">Parent still holds 200 of goods from Sub One; Sub One margin 25%</t>
  </si>
  <si>
    <t xml:space="preserve">associate_unrealised_profit</t>
  </si>
  <si>
    <t xml:space="preserve">Parent sold goods to Associate One at a 25% margin; 160 still held (group share eliminated)</t>
  </si>
  <si>
    <t xml:space="preserve">Checks (all should be zero)</t>
  </si>
  <si>
    <t xml:space="preserve">Entity trial balances balance</t>
  </si>
  <si>
    <t xml:space="preserve">Elimination journal balances</t>
  </si>
  <si>
    <t xml:space="preserve">Consolidation worksheet balances</t>
  </si>
  <si>
    <t xml:space="preserve">Intercompany receivables and payables fully eliminated</t>
  </si>
  <si>
    <t xml:space="preserve">Intercompany sales and purchases fully eliminated</t>
  </si>
  <si>
    <t xml:space="preserve">Investment in subsidiaries fully eliminated</t>
  </si>
  <si>
    <t xml:space="preserve">Dividends from associates fully eliminated</t>
  </si>
  <si>
    <t xml:space="preserve">Investments in associates agree to the equity method schedule</t>
  </si>
  <si>
    <t xml:space="preserve">Associates reconcile to share of net assets</t>
  </si>
  <si>
    <t xml:space="preserve">Balance sheet balances</t>
  </si>
  <si>
    <t xml:space="preserve">All checks pass?</t>
  </si>
</sst>
</file>

<file path=xl/styles.xml><?xml version="1.0" encoding="utf-8"?>
<styleSheet xmlns="http://schemas.openxmlformats.org/spreadsheetml/2006/main">
  <numFmts count="4">
    <numFmt numFmtId="164" formatCode="General"/>
    <numFmt numFmtId="165" formatCode="#,##0;\(#,##0\);\-"/>
    <numFmt numFmtId="166" formatCode="0%"/>
    <numFmt numFmtId="167" formatCode="0.000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b val="true"/>
      <sz val="12"/>
      <color rgb="FF000000"/>
      <name val="Arial"/>
      <family val="0"/>
      <charset val="1"/>
    </font>
    <font>
      <i val="true"/>
      <sz val="10"/>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sz val="10"/>
      <color rgb="FF008000"/>
      <name val="Arial"/>
      <family val="0"/>
      <charset val="1"/>
    </font>
    <font>
      <sz val="10"/>
      <color rgb="FF1F4E78"/>
      <name val="Arial"/>
      <family val="0"/>
      <charset val="1"/>
    </font>
    <font>
      <sz val="10"/>
      <color rgb="FF0000FF"/>
      <name val="Arial"/>
      <family val="0"/>
      <charset val="1"/>
    </font>
  </fonts>
  <fills count="3">
    <fill>
      <patternFill patternType="none"/>
    </fill>
    <fill>
      <patternFill patternType="gray125"/>
    </fill>
    <fill>
      <patternFill patternType="solid">
        <fgColor rgb="FF1F4E78"/>
        <bgColor rgb="FF003366"/>
      </patternFill>
    </fill>
  </fills>
  <borders count="3">
    <border diagonalUp="false" diagonalDown="false">
      <left/>
      <right/>
      <top/>
      <bottom/>
      <diagonal/>
    </border>
    <border diagonalUp="false" diagonalDown="false">
      <left/>
      <right/>
      <top style="thin"/>
      <bottom/>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true" applyProtection="false">
      <alignment horizontal="right" vertical="top" textRotation="0" wrapText="false" indent="0" shrinkToFit="false"/>
      <protection locked="true" hidden="false"/>
    </xf>
    <xf numFmtId="166" fontId="10" fillId="0" borderId="0" xfId="0" applyFont="true" applyBorder="false" applyAlignment="true" applyProtection="false">
      <alignment horizontal="right" vertical="top" textRotation="0" wrapText="false" indent="0" shrinkToFit="false"/>
      <protection locked="true" hidden="false"/>
    </xf>
    <xf numFmtId="164" fontId="7" fillId="2"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right" vertical="bottom" textRotation="0" wrapText="tru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6" fontId="12" fillId="0" borderId="0" xfId="0" applyFont="true" applyBorder="false" applyAlignment="true" applyProtection="false">
      <alignment horizontal="right" vertical="bottom" textRotation="0" wrapText="fals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5" fontId="9" fillId="0" borderId="2"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row>
    <row r="5" customFormat="false" ht="15" hidden="false" customHeight="false" outlineLevel="0" collapsed="false">
      <c r="B5" s="4"/>
      <c r="C5" s="4" t="s">
        <v>3</v>
      </c>
    </row>
    <row r="6" customFormat="false" ht="15" hidden="false" customHeight="false" outlineLevel="0" collapsed="false">
      <c r="B6" s="5" t="s">
        <v>4</v>
      </c>
      <c r="C6" s="6" t="n">
        <f aca="false">-(Consolidation!I21+Consolidation!I22)</f>
        <v>22124</v>
      </c>
    </row>
    <row r="7" customFormat="false" ht="15" hidden="false" customHeight="false" outlineLevel="0" collapsed="false">
      <c r="B7" s="5" t="s">
        <v>5</v>
      </c>
      <c r="C7" s="6" t="n">
        <f aca="false">-(Consolidation!I25+Consolidation!I26)</f>
        <v>-13060</v>
      </c>
    </row>
    <row r="8" customFormat="false" ht="15" hidden="false" customHeight="false" outlineLevel="0" collapsed="false">
      <c r="B8" s="7" t="s">
        <v>6</v>
      </c>
      <c r="C8" s="8" t="n">
        <f aca="false">C6+C7</f>
        <v>9064</v>
      </c>
    </row>
    <row r="9" customFormat="false" ht="15" hidden="false" customHeight="false" outlineLevel="0" collapsed="false">
      <c r="B9" s="5" t="s">
        <v>7</v>
      </c>
      <c r="C9" s="6" t="n">
        <f aca="false">-Consolidation!I27</f>
        <v>-4922</v>
      </c>
    </row>
    <row r="10" customFormat="false" ht="15" hidden="false" customHeight="false" outlineLevel="0" collapsed="false">
      <c r="B10" s="7" t="s">
        <v>8</v>
      </c>
      <c r="C10" s="8" t="n">
        <f aca="false">C8+C9</f>
        <v>4142</v>
      </c>
    </row>
    <row r="11" customFormat="false" ht="15" hidden="false" customHeight="false" outlineLevel="0" collapsed="false">
      <c r="B11" s="5" t="s">
        <v>9</v>
      </c>
      <c r="C11" s="6" t="n">
        <f aca="false">-Consolidation!I24</f>
        <v>259.718</v>
      </c>
    </row>
    <row r="12" customFormat="false" ht="15" hidden="false" customHeight="false" outlineLevel="0" collapsed="false">
      <c r="B12" s="5" t="s">
        <v>10</v>
      </c>
      <c r="C12" s="6" t="n">
        <f aca="false">-Consolidation!I23</f>
        <v>-0</v>
      </c>
    </row>
    <row r="13" customFormat="false" ht="15" hidden="false" customHeight="false" outlineLevel="0" collapsed="false">
      <c r="B13" s="5" t="s">
        <v>11</v>
      </c>
      <c r="C13" s="6" t="n">
        <f aca="false">-Consolidation!I28</f>
        <v>-372.7</v>
      </c>
    </row>
    <row r="14" customFormat="false" ht="15" hidden="false" customHeight="false" outlineLevel="0" collapsed="false">
      <c r="B14" s="7" t="s">
        <v>12</v>
      </c>
      <c r="C14" s="8" t="n">
        <f aca="false">SUM(C10:C13)</f>
        <v>4029.018</v>
      </c>
    </row>
    <row r="15" customFormat="false" ht="15" hidden="false" customHeight="false" outlineLevel="0" collapsed="false">
      <c r="B15" s="5" t="s">
        <v>13</v>
      </c>
      <c r="C15" s="6" t="n">
        <f aca="false">-Consolidation!I29</f>
        <v>-852.6</v>
      </c>
    </row>
    <row r="16" customFormat="false" ht="15" hidden="false" customHeight="false" outlineLevel="0" collapsed="false">
      <c r="B16" s="7" t="s">
        <v>14</v>
      </c>
      <c r="C16" s="9" t="n">
        <f aca="false">C14+C15</f>
        <v>3176.418</v>
      </c>
    </row>
    <row r="18" customFormat="false" ht="15" hidden="false" customHeight="false" outlineLevel="0" collapsed="false">
      <c r="B18" s="5" t="s">
        <v>15</v>
      </c>
      <c r="C18" s="6" t="n">
        <f aca="false">C16-C19</f>
        <v>3082.678</v>
      </c>
    </row>
    <row r="19" customFormat="false" ht="15" hidden="false" customHeight="false" outlineLevel="0" collapsed="false">
      <c r="B19" s="5" t="s">
        <v>16</v>
      </c>
      <c r="C19" s="6" t="n">
        <f aca="false">(1-Inputs!$E$7)*-SUM(Translation!I18:I25)+(1-Inputs!$E$8)*-SUM(Translation!L18:L25)</f>
        <v>93.74</v>
      </c>
    </row>
    <row r="21" customFormat="false" ht="15" hidden="false" customHeight="false" outlineLevel="0" collapsed="false">
      <c r="B21" s="3" t="s">
        <v>17</v>
      </c>
    </row>
    <row r="22" customFormat="false" ht="15" hidden="false" customHeight="false" outlineLevel="0" collapsed="false">
      <c r="B22" s="3" t="s">
        <v>18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19</v>
      </c>
    </row>
    <row r="3" customFormat="false" ht="15" hidden="false" customHeight="false" outlineLevel="0" collapsed="false">
      <c r="B3" s="3" t="s">
        <v>2</v>
      </c>
    </row>
    <row r="5" customFormat="false" ht="15" hidden="false" customHeight="false" outlineLevel="0" collapsed="false">
      <c r="B5" s="4"/>
      <c r="C5" s="4" t="s">
        <v>3</v>
      </c>
    </row>
    <row r="6" customFormat="false" ht="15" hidden="false" customHeight="false" outlineLevel="0" collapsed="false">
      <c r="B6" s="5" t="s">
        <v>20</v>
      </c>
      <c r="C6" s="6" t="n">
        <f aca="false">Consolidation!I13</f>
        <v>500</v>
      </c>
    </row>
    <row r="7" customFormat="false" ht="15" hidden="false" customHeight="false" outlineLevel="0" collapsed="false">
      <c r="B7" s="5" t="s">
        <v>21</v>
      </c>
      <c r="C7" s="6" t="n">
        <f aca="false">Consolidation!I10</f>
        <v>10444</v>
      </c>
    </row>
    <row r="8" customFormat="false" ht="15" hidden="false" customHeight="false" outlineLevel="0" collapsed="false">
      <c r="B8" s="5" t="s">
        <v>22</v>
      </c>
      <c r="C8" s="6" t="n">
        <f aca="false">Consolidation!I12</f>
        <v>1838.563</v>
      </c>
    </row>
    <row r="9" customFormat="false" ht="15" hidden="false" customHeight="false" outlineLevel="0" collapsed="false">
      <c r="B9" s="7" t="s">
        <v>23</v>
      </c>
      <c r="C9" s="8" t="n">
        <f aca="false">SUM(C6:C8)</f>
        <v>12782.563</v>
      </c>
    </row>
    <row r="10" customFormat="false" ht="15" hidden="false" customHeight="false" outlineLevel="0" collapsed="false">
      <c r="B10" s="5" t="s">
        <v>24</v>
      </c>
      <c r="C10" s="6" t="n">
        <f aca="false">Consolidation!I9</f>
        <v>2690</v>
      </c>
    </row>
    <row r="11" customFormat="false" ht="15" hidden="false" customHeight="false" outlineLevel="0" collapsed="false">
      <c r="B11" s="5" t="s">
        <v>25</v>
      </c>
      <c r="C11" s="6" t="n">
        <f aca="false">Consolidation!I7</f>
        <v>3756</v>
      </c>
    </row>
    <row r="12" customFormat="false" ht="15" hidden="false" customHeight="false" outlineLevel="0" collapsed="false">
      <c r="B12" s="5" t="s">
        <v>26</v>
      </c>
      <c r="C12" s="6" t="n">
        <f aca="false">Consolidation!I8</f>
        <v>0</v>
      </c>
    </row>
    <row r="13" customFormat="false" ht="15" hidden="false" customHeight="false" outlineLevel="0" collapsed="false">
      <c r="B13" s="5" t="s">
        <v>27</v>
      </c>
      <c r="C13" s="6" t="n">
        <f aca="false">Consolidation!I6</f>
        <v>2363.69</v>
      </c>
    </row>
    <row r="14" customFormat="false" ht="15" hidden="false" customHeight="false" outlineLevel="0" collapsed="false">
      <c r="B14" s="7" t="s">
        <v>28</v>
      </c>
      <c r="C14" s="8" t="n">
        <f aca="false">SUM(C10:C13)</f>
        <v>8809.69</v>
      </c>
    </row>
    <row r="15" customFormat="false" ht="15" hidden="false" customHeight="false" outlineLevel="0" collapsed="false">
      <c r="B15" s="7" t="s">
        <v>29</v>
      </c>
      <c r="C15" s="9" t="n">
        <f aca="false">C9+C14</f>
        <v>21592.253</v>
      </c>
    </row>
    <row r="17" customFormat="false" ht="15" hidden="false" customHeight="false" outlineLevel="0" collapsed="false">
      <c r="B17" s="5" t="s">
        <v>30</v>
      </c>
      <c r="C17" s="6" t="n">
        <f aca="false">-Consolidation!I17</f>
        <v>5000</v>
      </c>
    </row>
    <row r="18" customFormat="false" ht="15" hidden="false" customHeight="false" outlineLevel="0" collapsed="false">
      <c r="B18" s="5" t="s">
        <v>31</v>
      </c>
      <c r="C18" s="6" t="n">
        <f aca="false">-Consolidation!I18+'Consolidated IS'!C18</f>
        <v>6733.213</v>
      </c>
    </row>
    <row r="19" customFormat="false" ht="15" hidden="false" customHeight="false" outlineLevel="0" collapsed="false">
      <c r="B19" s="5" t="s">
        <v>32</v>
      </c>
      <c r="C19" s="6" t="n">
        <f aca="false">-Consolidation!I19</f>
        <v>-24.5600000000001</v>
      </c>
    </row>
    <row r="20" customFormat="false" ht="15" hidden="false" customHeight="false" outlineLevel="0" collapsed="false">
      <c r="B20" s="7" t="s">
        <v>33</v>
      </c>
      <c r="C20" s="8" t="n">
        <f aca="false">SUM(C17:C19)</f>
        <v>11708.653</v>
      </c>
    </row>
    <row r="21" customFormat="false" ht="15" hidden="false" customHeight="false" outlineLevel="0" collapsed="false">
      <c r="B21" s="5" t="s">
        <v>34</v>
      </c>
      <c r="C21" s="6" t="n">
        <f aca="false">-Consolidation!I20+'Consolidated IS'!C19</f>
        <v>399.6</v>
      </c>
    </row>
    <row r="22" customFormat="false" ht="15" hidden="false" customHeight="false" outlineLevel="0" collapsed="false">
      <c r="B22" s="7" t="s">
        <v>35</v>
      </c>
      <c r="C22" s="8" t="n">
        <f aca="false">C20+C21</f>
        <v>12108.253</v>
      </c>
    </row>
    <row r="23" customFormat="false" ht="15" hidden="false" customHeight="false" outlineLevel="0" collapsed="false">
      <c r="B23" s="5" t="s">
        <v>36</v>
      </c>
      <c r="C23" s="6" t="n">
        <f aca="false">-Consolidation!I16</f>
        <v>6648</v>
      </c>
    </row>
    <row r="24" customFormat="false" ht="15" hidden="false" customHeight="false" outlineLevel="0" collapsed="false">
      <c r="B24" s="5" t="s">
        <v>37</v>
      </c>
      <c r="C24" s="6" t="n">
        <f aca="false">-Consolidation!I14</f>
        <v>2836</v>
      </c>
    </row>
    <row r="25" customFormat="false" ht="15" hidden="false" customHeight="false" outlineLevel="0" collapsed="false">
      <c r="B25" s="5" t="s">
        <v>38</v>
      </c>
      <c r="C25" s="6" t="n">
        <f aca="false">-Consolidation!I15</f>
        <v>-0</v>
      </c>
    </row>
    <row r="26" customFormat="false" ht="15" hidden="false" customHeight="false" outlineLevel="0" collapsed="false">
      <c r="B26" s="7" t="s">
        <v>39</v>
      </c>
      <c r="C26" s="8" t="n">
        <f aca="false">SUM(C23:C25)</f>
        <v>9484</v>
      </c>
    </row>
    <row r="27" customFormat="false" ht="15" hidden="false" customHeight="false" outlineLevel="0" collapsed="false">
      <c r="B27" s="7" t="s">
        <v>40</v>
      </c>
      <c r="C27" s="9" t="n">
        <f aca="false">C22+C26</f>
        <v>21592.253</v>
      </c>
    </row>
    <row r="29" customFormat="false" ht="15" hidden="false" customHeight="false" outlineLevel="0" collapsed="false">
      <c r="B29" s="5" t="s">
        <v>41</v>
      </c>
      <c r="C29" s="6" t="n">
        <f aca="false">ROUND(C15-C27,2)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34"/>
    <col collapsed="false" customWidth="true" hidden="false" outlineLevel="0" max="4" min="4" style="0" width="11"/>
    <col collapsed="false" customWidth="true" hidden="false" outlineLevel="0" max="5" min="5" style="0" width="22"/>
    <col collapsed="false" customWidth="true" hidden="false" outlineLevel="0" max="6" min="6" style="0" width="24"/>
    <col collapsed="false" customWidth="true" hidden="false" outlineLevel="0" max="7" min="7" style="0" width="80"/>
  </cols>
  <sheetData>
    <row r="1" customFormat="false" ht="17.35" hidden="false" customHeight="false" outlineLevel="0" collapsed="false">
      <c r="B1" s="1" t="s">
        <v>0</v>
      </c>
    </row>
    <row r="2" customFormat="false" ht="15" hidden="false" customHeight="false" outlineLevel="0" collapsed="false">
      <c r="B2" s="2" t="s">
        <v>42</v>
      </c>
    </row>
    <row r="3" customFormat="false" ht="15" hidden="false" customHeight="false" outlineLevel="0" collapsed="false">
      <c r="B3" s="3" t="s">
        <v>43</v>
      </c>
    </row>
    <row r="5" customFormat="false" ht="15" hidden="false" customHeight="false" outlineLevel="0" collapsed="false">
      <c r="B5" s="10" t="s">
        <v>44</v>
      </c>
      <c r="C5" s="10" t="s">
        <v>45</v>
      </c>
      <c r="D5" s="11" t="s">
        <v>46</v>
      </c>
      <c r="E5" s="10" t="s">
        <v>47</v>
      </c>
      <c r="F5" s="10" t="s">
        <v>48</v>
      </c>
      <c r="G5" s="10" t="s">
        <v>49</v>
      </c>
    </row>
    <row r="6" customFormat="false" ht="30" hidden="false" customHeight="true" outlineLevel="0" collapsed="false">
      <c r="B6" s="12" t="s">
        <v>50</v>
      </c>
      <c r="C6" s="13" t="s">
        <v>51</v>
      </c>
      <c r="D6" s="14"/>
      <c r="E6" s="13" t="s">
        <v>52</v>
      </c>
      <c r="F6" s="13" t="s">
        <v>53</v>
      </c>
      <c r="G6" s="13" t="s">
        <v>54</v>
      </c>
    </row>
    <row r="7" customFormat="false" ht="30" hidden="false" customHeight="true" outlineLevel="0" collapsed="false">
      <c r="B7" s="12" t="s">
        <v>55</v>
      </c>
      <c r="C7" s="13" t="s">
        <v>56</v>
      </c>
      <c r="D7" s="15" t="n">
        <f aca="false">Inputs!$E$7</f>
        <v>1</v>
      </c>
      <c r="E7" s="13" t="s">
        <v>57</v>
      </c>
      <c r="F7" s="13" t="s">
        <v>58</v>
      </c>
      <c r="G7" s="13" t="s">
        <v>59</v>
      </c>
    </row>
    <row r="8" customFormat="false" ht="55.5" hidden="false" customHeight="true" outlineLevel="0" collapsed="false">
      <c r="B8" s="12" t="s">
        <v>60</v>
      </c>
      <c r="C8" s="13" t="s">
        <v>61</v>
      </c>
      <c r="D8" s="15" t="n">
        <f aca="false">Inputs!$E$8</f>
        <v>0.8</v>
      </c>
      <c r="E8" s="13" t="s">
        <v>62</v>
      </c>
      <c r="F8" s="13" t="s">
        <v>63</v>
      </c>
      <c r="G8" s="13" t="s">
        <v>64</v>
      </c>
    </row>
    <row r="9" customFormat="false" ht="69" hidden="false" customHeight="true" outlineLevel="0" collapsed="false">
      <c r="B9" s="12" t="s">
        <v>65</v>
      </c>
      <c r="C9" s="13" t="s">
        <v>66</v>
      </c>
      <c r="D9" s="15" t="n">
        <f aca="false">Associates!D8</f>
        <v>0.3</v>
      </c>
      <c r="E9" s="13" t="s">
        <v>67</v>
      </c>
      <c r="F9" s="13" t="s">
        <v>68</v>
      </c>
      <c r="G9" s="13" t="s">
        <v>69</v>
      </c>
    </row>
    <row r="10" customFormat="false" ht="69" hidden="false" customHeight="true" outlineLevel="0" collapsed="false">
      <c r="B10" s="12" t="s">
        <v>70</v>
      </c>
      <c r="C10" s="13" t="s">
        <v>71</v>
      </c>
      <c r="D10" s="15" t="n">
        <f aca="false">Associates!E8</f>
        <v>0.25</v>
      </c>
      <c r="E10" s="13" t="s">
        <v>72</v>
      </c>
      <c r="F10" s="13" t="s">
        <v>68</v>
      </c>
      <c r="G10" s="13" t="s">
        <v>73</v>
      </c>
    </row>
    <row r="13" customFormat="false" ht="15" hidden="false" customHeight="false" outlineLevel="0" collapsed="false">
      <c r="B13" s="2" t="s">
        <v>74</v>
      </c>
    </row>
    <row r="14" customFormat="false" ht="15" hidden="false" customHeight="false" outlineLevel="0" collapsed="false">
      <c r="B14" s="10" t="s">
        <v>75</v>
      </c>
      <c r="C14" s="10" t="s">
        <v>76</v>
      </c>
      <c r="D14" s="16" t="s">
        <v>77</v>
      </c>
      <c r="E14" s="16"/>
      <c r="F14" s="16"/>
      <c r="G14" s="16"/>
    </row>
    <row r="15" customFormat="false" ht="42.75" hidden="false" customHeight="true" outlineLevel="0" collapsed="false">
      <c r="B15" s="12" t="s">
        <v>78</v>
      </c>
      <c r="C15" s="17" t="s">
        <v>79</v>
      </c>
      <c r="D15" s="18" t="s">
        <v>80</v>
      </c>
      <c r="E15" s="18"/>
      <c r="F15" s="18"/>
      <c r="G15" s="18"/>
    </row>
    <row r="16" customFormat="false" ht="42.75" hidden="false" customHeight="true" outlineLevel="0" collapsed="false">
      <c r="B16" s="12" t="s">
        <v>81</v>
      </c>
      <c r="C16" s="17" t="s">
        <v>82</v>
      </c>
      <c r="D16" s="18" t="s">
        <v>83</v>
      </c>
      <c r="E16" s="18"/>
      <c r="F16" s="18"/>
      <c r="G16" s="18"/>
    </row>
    <row r="17" customFormat="false" ht="30" hidden="false" customHeight="true" outlineLevel="0" collapsed="false">
      <c r="B17" s="12" t="s">
        <v>84</v>
      </c>
      <c r="C17" s="17" t="s">
        <v>85</v>
      </c>
      <c r="D17" s="18" t="s">
        <v>86</v>
      </c>
      <c r="E17" s="18"/>
      <c r="F17" s="18"/>
      <c r="G17" s="18"/>
    </row>
    <row r="18" customFormat="false" ht="55.5" hidden="false" customHeight="true" outlineLevel="0" collapsed="false">
      <c r="B18" s="12" t="s">
        <v>87</v>
      </c>
      <c r="C18" s="17" t="s">
        <v>88</v>
      </c>
      <c r="D18" s="18" t="s">
        <v>89</v>
      </c>
      <c r="E18" s="18"/>
      <c r="F18" s="18"/>
      <c r="G18" s="18"/>
    </row>
    <row r="19" customFormat="false" ht="30" hidden="false" customHeight="true" outlineLevel="0" collapsed="false">
      <c r="B19" s="12" t="s">
        <v>90</v>
      </c>
      <c r="C19" s="17" t="s">
        <v>91</v>
      </c>
      <c r="D19" s="18" t="s">
        <v>92</v>
      </c>
      <c r="E19" s="18"/>
      <c r="F19" s="18"/>
      <c r="G19" s="18"/>
    </row>
    <row r="20" customFormat="false" ht="30" hidden="false" customHeight="true" outlineLevel="0" collapsed="false">
      <c r="B20" s="12" t="s">
        <v>93</v>
      </c>
      <c r="C20" s="17" t="s">
        <v>94</v>
      </c>
      <c r="D20" s="18" t="s">
        <v>95</v>
      </c>
      <c r="E20" s="18"/>
      <c r="F20" s="18"/>
      <c r="G20" s="18"/>
    </row>
    <row r="21" customFormat="false" ht="42.75" hidden="false" customHeight="true" outlineLevel="0" collapsed="false">
      <c r="B21" s="12" t="s">
        <v>96</v>
      </c>
      <c r="C21" s="17" t="s">
        <v>97</v>
      </c>
      <c r="D21" s="18" t="s">
        <v>98</v>
      </c>
      <c r="E21" s="18"/>
      <c r="F21" s="18"/>
      <c r="G21" s="18"/>
    </row>
    <row r="22" customFormat="false" ht="30" hidden="false" customHeight="true" outlineLevel="0" collapsed="false">
      <c r="B22" s="12" t="s">
        <v>99</v>
      </c>
      <c r="C22" s="17" t="s">
        <v>100</v>
      </c>
      <c r="D22" s="18" t="s">
        <v>101</v>
      </c>
      <c r="E22" s="18"/>
      <c r="F22" s="18"/>
      <c r="G22" s="18"/>
    </row>
    <row r="23" customFormat="false" ht="42.75" hidden="false" customHeight="true" outlineLevel="0" collapsed="false">
      <c r="B23" s="12" t="s">
        <v>102</v>
      </c>
      <c r="C23" s="17" t="s">
        <v>103</v>
      </c>
      <c r="D23" s="18" t="s">
        <v>104</v>
      </c>
      <c r="E23" s="18"/>
      <c r="F23" s="18"/>
      <c r="G23" s="18"/>
    </row>
    <row r="24" customFormat="false" ht="30" hidden="false" customHeight="true" outlineLevel="0" collapsed="false">
      <c r="B24" s="12" t="s">
        <v>105</v>
      </c>
      <c r="C24" s="17" t="s">
        <v>106</v>
      </c>
      <c r="D24" s="18" t="s">
        <v>107</v>
      </c>
      <c r="E24" s="18"/>
      <c r="F24" s="18"/>
      <c r="G24" s="18"/>
    </row>
    <row r="25" customFormat="false" ht="42.75" hidden="false" customHeight="true" outlineLevel="0" collapsed="false">
      <c r="B25" s="12" t="s">
        <v>108</v>
      </c>
      <c r="C25" s="17" t="s">
        <v>109</v>
      </c>
      <c r="D25" s="18" t="s">
        <v>110</v>
      </c>
      <c r="E25" s="18"/>
      <c r="F25" s="18"/>
      <c r="G25" s="18"/>
    </row>
    <row r="26" customFormat="false" ht="30" hidden="false" customHeight="true" outlineLevel="0" collapsed="false">
      <c r="B26" s="12" t="s">
        <v>111</v>
      </c>
      <c r="C26" s="17" t="s">
        <v>112</v>
      </c>
      <c r="D26" s="18" t="s">
        <v>113</v>
      </c>
      <c r="E26" s="18"/>
      <c r="F26" s="18"/>
      <c r="G26" s="18"/>
    </row>
    <row r="27" customFormat="false" ht="30" hidden="false" customHeight="true" outlineLevel="0" collapsed="false">
      <c r="B27" s="12" t="s">
        <v>114</v>
      </c>
      <c r="C27" s="17" t="s">
        <v>115</v>
      </c>
      <c r="D27" s="18" t="s">
        <v>116</v>
      </c>
      <c r="E27" s="18"/>
      <c r="F27" s="18"/>
      <c r="G27" s="18"/>
    </row>
    <row r="28" customFormat="false" ht="30" hidden="false" customHeight="true" outlineLevel="0" collapsed="false">
      <c r="B28" s="12" t="s">
        <v>117</v>
      </c>
      <c r="C28" s="17" t="s">
        <v>118</v>
      </c>
      <c r="D28" s="18" t="s">
        <v>119</v>
      </c>
      <c r="E28" s="18"/>
      <c r="F28" s="18"/>
      <c r="G28" s="18"/>
    </row>
    <row r="29" customFormat="false" ht="30" hidden="false" customHeight="true" outlineLevel="0" collapsed="false">
      <c r="B29" s="12" t="s">
        <v>120</v>
      </c>
      <c r="C29" s="17" t="s">
        <v>121</v>
      </c>
      <c r="D29" s="18" t="s">
        <v>122</v>
      </c>
      <c r="E29" s="18"/>
      <c r="F29" s="18"/>
      <c r="G29" s="18"/>
    </row>
    <row r="30" customFormat="false" ht="42.75" hidden="false" customHeight="true" outlineLevel="0" collapsed="false">
      <c r="B30" s="12" t="s">
        <v>123</v>
      </c>
      <c r="C30" s="17" t="s">
        <v>124</v>
      </c>
      <c r="D30" s="18" t="s">
        <v>125</v>
      </c>
      <c r="E30" s="18"/>
      <c r="F30" s="18"/>
      <c r="G30" s="18"/>
    </row>
    <row r="32" customFormat="false" ht="15" hidden="false" customHeight="false" outlineLevel="0" collapsed="false">
      <c r="B32" s="3" t="s">
        <v>126</v>
      </c>
    </row>
  </sheetData>
  <mergeCells count="17">
    <mergeCell ref="D14:G14"/>
    <mergeCell ref="D15:G15"/>
    <mergeCell ref="D16:G16"/>
    <mergeCell ref="D17:G17"/>
    <mergeCell ref="D18:G18"/>
    <mergeCell ref="D19:G19"/>
    <mergeCell ref="D20:G20"/>
    <mergeCell ref="D21:G21"/>
    <mergeCell ref="D22:G22"/>
    <mergeCell ref="D23:G23"/>
    <mergeCell ref="D24:G24"/>
    <mergeCell ref="D25:G25"/>
    <mergeCell ref="D26:G26"/>
    <mergeCell ref="D27:G27"/>
    <mergeCell ref="D28:G28"/>
    <mergeCell ref="D29:G29"/>
    <mergeCell ref="D30:G3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9" min="4" style="0" width="13"/>
  </cols>
  <sheetData>
    <row r="1" customFormat="false" ht="17.35" hidden="false" customHeight="false" outlineLevel="0" collapsed="false">
      <c r="B1" s="1" t="s">
        <v>0</v>
      </c>
    </row>
    <row r="2" customFormat="false" ht="15" hidden="false" customHeight="false" outlineLevel="0" collapsed="false">
      <c r="B2" s="2" t="s">
        <v>127</v>
      </c>
    </row>
    <row r="3" customFormat="false" ht="15" hidden="false" customHeight="false" outlineLevel="0" collapsed="false">
      <c r="B3" s="3" t="s">
        <v>2</v>
      </c>
    </row>
    <row r="5" customFormat="false" ht="23.85" hidden="false" customHeight="false" outlineLevel="0" collapsed="false">
      <c r="B5" s="4" t="s">
        <v>128</v>
      </c>
      <c r="C5" s="4" t="s">
        <v>129</v>
      </c>
      <c r="D5" s="19" t="s">
        <v>130</v>
      </c>
      <c r="E5" s="19" t="s">
        <v>131</v>
      </c>
      <c r="F5" s="19" t="s">
        <v>132</v>
      </c>
      <c r="G5" s="19" t="s">
        <v>133</v>
      </c>
      <c r="H5" s="19" t="s">
        <v>134</v>
      </c>
      <c r="I5" s="19" t="s">
        <v>135</v>
      </c>
    </row>
    <row r="6" customFormat="false" ht="15" hidden="false" customHeight="false" outlineLevel="0" collapsed="false">
      <c r="B6" s="5" t="n">
        <v>1000</v>
      </c>
      <c r="C6" s="5" t="s">
        <v>27</v>
      </c>
      <c r="D6" s="20" t="n">
        <f aca="false">Translation!F6</f>
        <v>1331.69</v>
      </c>
      <c r="E6" s="20" t="n">
        <f aca="false">Translation!I6</f>
        <v>600</v>
      </c>
      <c r="F6" s="20" t="n">
        <f aca="false">Translation!L6</f>
        <v>432</v>
      </c>
      <c r="G6" s="6" t="n">
        <f aca="false">SUM(D6:F6)</f>
        <v>2363.69</v>
      </c>
      <c r="H6" s="20" t="n">
        <f aca="false">SUMIFS(Eliminations!$F$6:$F$43,Eliminations!$D$6:$D$43,$B6)</f>
        <v>0</v>
      </c>
      <c r="I6" s="21" t="n">
        <f aca="false">G6+H6</f>
        <v>2363.69</v>
      </c>
    </row>
    <row r="7" customFormat="false" ht="15" hidden="false" customHeight="false" outlineLevel="0" collapsed="false">
      <c r="B7" s="5" t="n">
        <v>1100</v>
      </c>
      <c r="C7" s="5" t="s">
        <v>25</v>
      </c>
      <c r="D7" s="20" t="n">
        <f aca="false">Translation!F7</f>
        <v>2100</v>
      </c>
      <c r="E7" s="20" t="n">
        <f aca="false">Translation!I7</f>
        <v>900</v>
      </c>
      <c r="F7" s="20" t="n">
        <f aca="false">Translation!L7</f>
        <v>756</v>
      </c>
      <c r="G7" s="6" t="n">
        <f aca="false">SUM(D7:F7)</f>
        <v>3756</v>
      </c>
      <c r="H7" s="20" t="n">
        <f aca="false">SUMIFS(Eliminations!$F$6:$F$43,Eliminations!$D$6:$D$43,$B7)</f>
        <v>0</v>
      </c>
      <c r="I7" s="21" t="n">
        <f aca="false">G7+H7</f>
        <v>3756</v>
      </c>
    </row>
    <row r="8" customFormat="false" ht="15" hidden="false" customHeight="false" outlineLevel="0" collapsed="false">
      <c r="B8" s="5" t="n">
        <v>1150</v>
      </c>
      <c r="C8" s="5" t="s">
        <v>136</v>
      </c>
      <c r="D8" s="20" t="n">
        <f aca="false">Translation!F8</f>
        <v>540</v>
      </c>
      <c r="E8" s="20" t="n">
        <f aca="false">Translation!I8</f>
        <v>150</v>
      </c>
      <c r="F8" s="20" t="n">
        <f aca="false">Translation!L8</f>
        <v>0</v>
      </c>
      <c r="G8" s="6" t="n">
        <f aca="false">SUM(D8:F8)</f>
        <v>690</v>
      </c>
      <c r="H8" s="20" t="n">
        <f aca="false">SUMIFS(Eliminations!$F$6:$F$43,Eliminations!$D$6:$D$43,$B8)</f>
        <v>-690</v>
      </c>
      <c r="I8" s="21" t="n">
        <f aca="false">G8+H8</f>
        <v>0</v>
      </c>
    </row>
    <row r="9" customFormat="false" ht="15" hidden="false" customHeight="false" outlineLevel="0" collapsed="false">
      <c r="B9" s="5" t="n">
        <v>1200</v>
      </c>
      <c r="C9" s="5" t="s">
        <v>24</v>
      </c>
      <c r="D9" s="20" t="n">
        <f aca="false">Translation!F9</f>
        <v>1500</v>
      </c>
      <c r="E9" s="20" t="n">
        <f aca="false">Translation!I9</f>
        <v>700</v>
      </c>
      <c r="F9" s="20" t="n">
        <f aca="false">Translation!L9</f>
        <v>540</v>
      </c>
      <c r="G9" s="6" t="n">
        <f aca="false">SUM(D9:F9)</f>
        <v>2740</v>
      </c>
      <c r="H9" s="20" t="n">
        <f aca="false">SUMIFS(Eliminations!$F$6:$F$43,Eliminations!$D$6:$D$43,$B9)</f>
        <v>-50</v>
      </c>
      <c r="I9" s="21" t="n">
        <f aca="false">G9+H9</f>
        <v>2690</v>
      </c>
    </row>
    <row r="10" customFormat="false" ht="15" hidden="false" customHeight="false" outlineLevel="0" collapsed="false">
      <c r="B10" s="5" t="n">
        <v>1500</v>
      </c>
      <c r="C10" s="5" t="s">
        <v>21</v>
      </c>
      <c r="D10" s="20" t="n">
        <f aca="false">Translation!F10</f>
        <v>6000</v>
      </c>
      <c r="E10" s="20" t="n">
        <f aca="false">Translation!I10</f>
        <v>2500</v>
      </c>
      <c r="F10" s="20" t="n">
        <f aca="false">Translation!L10</f>
        <v>1944</v>
      </c>
      <c r="G10" s="6" t="n">
        <f aca="false">SUM(D10:F10)</f>
        <v>10444</v>
      </c>
      <c r="H10" s="20" t="n">
        <f aca="false">SUMIFS(Eliminations!$F$6:$F$43,Eliminations!$D$6:$D$43,$B10)</f>
        <v>0</v>
      </c>
      <c r="I10" s="21" t="n">
        <f aca="false">G10+H10</f>
        <v>10444</v>
      </c>
    </row>
    <row r="11" customFormat="false" ht="15" hidden="false" customHeight="false" outlineLevel="0" collapsed="false">
      <c r="B11" s="5" t="n">
        <v>1600</v>
      </c>
      <c r="C11" s="5" t="s">
        <v>137</v>
      </c>
      <c r="D11" s="20" t="n">
        <f aca="false">Translation!F11</f>
        <v>3580</v>
      </c>
      <c r="E11" s="20" t="n">
        <f aca="false">Translation!I11</f>
        <v>0</v>
      </c>
      <c r="F11" s="20" t="n">
        <f aca="false">Translation!L11</f>
        <v>0</v>
      </c>
      <c r="G11" s="6" t="n">
        <f aca="false">SUM(D11:F11)</f>
        <v>3580</v>
      </c>
      <c r="H11" s="20" t="n">
        <f aca="false">SUMIFS(Eliminations!$F$6:$F$43,Eliminations!$D$6:$D$43,$B11)</f>
        <v>-3580</v>
      </c>
      <c r="I11" s="21" t="n">
        <f aca="false">G11+H11</f>
        <v>0</v>
      </c>
    </row>
    <row r="12" customFormat="false" ht="15" hidden="false" customHeight="false" outlineLevel="0" collapsed="false">
      <c r="B12" s="5" t="n">
        <v>1650</v>
      </c>
      <c r="C12" s="5" t="s">
        <v>138</v>
      </c>
      <c r="D12" s="20" t="n">
        <f aca="false">Translation!F12</f>
        <v>1500</v>
      </c>
      <c r="E12" s="20" t="n">
        <f aca="false">Translation!I12</f>
        <v>0</v>
      </c>
      <c r="F12" s="20" t="n">
        <f aca="false">Translation!L12</f>
        <v>0</v>
      </c>
      <c r="G12" s="6" t="n">
        <f aca="false">SUM(D12:F12)</f>
        <v>1500</v>
      </c>
      <c r="H12" s="20" t="n">
        <f aca="false">SUMIFS(Eliminations!$F$6:$F$43,Eliminations!$D$6:$D$43,$B12)</f>
        <v>338.563</v>
      </c>
      <c r="I12" s="21" t="n">
        <f aca="false">G12+H12</f>
        <v>1838.563</v>
      </c>
    </row>
    <row r="13" customFormat="false" ht="15" hidden="false" customHeight="false" outlineLevel="0" collapsed="false">
      <c r="B13" s="5" t="n">
        <v>1700</v>
      </c>
      <c r="C13" s="5" t="s">
        <v>20</v>
      </c>
      <c r="D13" s="20" t="n">
        <v>0</v>
      </c>
      <c r="E13" s="20" t="n">
        <v>0</v>
      </c>
      <c r="F13" s="20" t="n">
        <v>0</v>
      </c>
      <c r="G13" s="6" t="n">
        <f aca="false">SUM(D13:F13)</f>
        <v>0</v>
      </c>
      <c r="H13" s="20" t="n">
        <f aca="false">SUMIFS(Eliminations!$F$6:$F$43,Eliminations!$D$6:$D$43,$B13)</f>
        <v>500</v>
      </c>
      <c r="I13" s="21" t="n">
        <f aca="false">G13+H13</f>
        <v>500</v>
      </c>
    </row>
    <row r="14" customFormat="false" ht="15" hidden="false" customHeight="false" outlineLevel="0" collapsed="false">
      <c r="B14" s="5" t="n">
        <v>2000</v>
      </c>
      <c r="C14" s="5" t="s">
        <v>37</v>
      </c>
      <c r="D14" s="20" t="n">
        <f aca="false">Translation!F13</f>
        <v>-1700</v>
      </c>
      <c r="E14" s="20" t="n">
        <f aca="false">Translation!I13</f>
        <v>-650</v>
      </c>
      <c r="F14" s="20" t="n">
        <f aca="false">Translation!L13</f>
        <v>-486</v>
      </c>
      <c r="G14" s="6" t="n">
        <f aca="false">SUM(D14:F14)</f>
        <v>-2836</v>
      </c>
      <c r="H14" s="20" t="n">
        <f aca="false">SUMIFS(Eliminations!$F$6:$F$43,Eliminations!$D$6:$D$43,$B14)</f>
        <v>0</v>
      </c>
      <c r="I14" s="21" t="n">
        <f aca="false">G14+H14</f>
        <v>-2836</v>
      </c>
    </row>
    <row r="15" customFormat="false" ht="15" hidden="false" customHeight="false" outlineLevel="0" collapsed="false">
      <c r="B15" s="5" t="n">
        <v>2150</v>
      </c>
      <c r="C15" s="5" t="s">
        <v>139</v>
      </c>
      <c r="D15" s="20" t="n">
        <f aca="false">Translation!F14</f>
        <v>-150</v>
      </c>
      <c r="E15" s="20" t="n">
        <f aca="false">Translation!I14</f>
        <v>0</v>
      </c>
      <c r="F15" s="20" t="n">
        <f aca="false">Translation!L14</f>
        <v>-540</v>
      </c>
      <c r="G15" s="6" t="n">
        <f aca="false">SUM(D15:F15)</f>
        <v>-690</v>
      </c>
      <c r="H15" s="20" t="n">
        <f aca="false">SUMIFS(Eliminations!$F$6:$F$43,Eliminations!$D$6:$D$43,$B15)</f>
        <v>690</v>
      </c>
      <c r="I15" s="21" t="n">
        <f aca="false">G15+H15</f>
        <v>0</v>
      </c>
    </row>
    <row r="16" customFormat="false" ht="15" hidden="false" customHeight="false" outlineLevel="0" collapsed="false">
      <c r="B16" s="5" t="n">
        <v>2500</v>
      </c>
      <c r="C16" s="5" t="s">
        <v>36</v>
      </c>
      <c r="D16" s="20" t="n">
        <f aca="false">Translation!F15</f>
        <v>-5000</v>
      </c>
      <c r="E16" s="20" t="n">
        <f aca="false">Translation!I15</f>
        <v>-1000</v>
      </c>
      <c r="F16" s="20" t="n">
        <f aca="false">Translation!L15</f>
        <v>-648</v>
      </c>
      <c r="G16" s="6" t="n">
        <f aca="false">SUM(D16:F16)</f>
        <v>-6648</v>
      </c>
      <c r="H16" s="20" t="n">
        <f aca="false">SUMIFS(Eliminations!$F$6:$F$43,Eliminations!$D$6:$D$43,$B16)</f>
        <v>0</v>
      </c>
      <c r="I16" s="21" t="n">
        <f aca="false">G16+H16</f>
        <v>-6648</v>
      </c>
    </row>
    <row r="17" customFormat="false" ht="15" hidden="false" customHeight="false" outlineLevel="0" collapsed="false">
      <c r="B17" s="5" t="n">
        <v>3000</v>
      </c>
      <c r="C17" s="5" t="s">
        <v>30</v>
      </c>
      <c r="D17" s="20" t="n">
        <f aca="false">Translation!F16</f>
        <v>-5000</v>
      </c>
      <c r="E17" s="20" t="n">
        <f aca="false">Translation!I16</f>
        <v>-1000</v>
      </c>
      <c r="F17" s="20" t="n">
        <f aca="false">Translation!L16</f>
        <v>-1100</v>
      </c>
      <c r="G17" s="6" t="n">
        <f aca="false">SUM(D17:F17)</f>
        <v>-7100</v>
      </c>
      <c r="H17" s="20" t="n">
        <f aca="false">SUMIFS(Eliminations!$F$6:$F$43,Eliminations!$D$6:$D$43,$B17)</f>
        <v>2100</v>
      </c>
      <c r="I17" s="21" t="n">
        <f aca="false">G17+H17</f>
        <v>-5000</v>
      </c>
    </row>
    <row r="18" customFormat="false" ht="15" hidden="false" customHeight="false" outlineLevel="0" collapsed="false">
      <c r="B18" s="5" t="n">
        <v>3100</v>
      </c>
      <c r="C18" s="5" t="s">
        <v>140</v>
      </c>
      <c r="D18" s="20" t="n">
        <f aca="false">Translation!F17</f>
        <v>-2800</v>
      </c>
      <c r="E18" s="20" t="n">
        <f aca="false">Translation!I17</f>
        <v>-1460</v>
      </c>
      <c r="F18" s="20" t="n">
        <f aca="false">Translation!L17</f>
        <v>-460</v>
      </c>
      <c r="G18" s="6" t="n">
        <f aca="false">SUM(D18:F18)</f>
        <v>-4720</v>
      </c>
      <c r="H18" s="20" t="n">
        <f aca="false">SUMIFS(Eliminations!$F$6:$F$43,Eliminations!$D$6:$D$43,$B18)</f>
        <v>1069.465</v>
      </c>
      <c r="I18" s="21" t="n">
        <f aca="false">G18+H18</f>
        <v>-3650.535</v>
      </c>
    </row>
    <row r="19" customFormat="false" ht="15" hidden="false" customHeight="false" outlineLevel="0" collapsed="false">
      <c r="B19" s="5" t="n">
        <v>3200</v>
      </c>
      <c r="C19" s="5" t="s">
        <v>32</v>
      </c>
      <c r="D19" s="20" t="n">
        <f aca="false">Translation!F26</f>
        <v>-0</v>
      </c>
      <c r="E19" s="20" t="n">
        <f aca="false">Translation!I26</f>
        <v>-0</v>
      </c>
      <c r="F19" s="20" t="n">
        <f aca="false">Translation!L26</f>
        <v>30.7000000000002</v>
      </c>
      <c r="G19" s="6" t="n">
        <f aca="false">SUM(D19:F19)</f>
        <v>30.7000000000002</v>
      </c>
      <c r="H19" s="20" t="n">
        <f aca="false">SUMIFS(Eliminations!$F$6:$F$43,Eliminations!$D$6:$D$43,$B19)</f>
        <v>-6.14000000000003</v>
      </c>
      <c r="I19" s="21" t="n">
        <f aca="false">G19+H19</f>
        <v>24.5600000000001</v>
      </c>
    </row>
    <row r="20" customFormat="false" ht="15" hidden="false" customHeight="false" outlineLevel="0" collapsed="false">
      <c r="B20" s="5" t="n">
        <v>3300</v>
      </c>
      <c r="C20" s="5" t="s">
        <v>34</v>
      </c>
      <c r="D20" s="20" t="n">
        <v>0</v>
      </c>
      <c r="E20" s="20" t="n">
        <v>0</v>
      </c>
      <c r="F20" s="20" t="n">
        <v>0</v>
      </c>
      <c r="G20" s="6" t="n">
        <f aca="false">SUM(D20:F20)</f>
        <v>0</v>
      </c>
      <c r="H20" s="20" t="n">
        <f aca="false">SUMIFS(Eliminations!$F$6:$F$43,Eliminations!$D$6:$D$43,$B20)</f>
        <v>-305.86</v>
      </c>
      <c r="I20" s="21" t="n">
        <f aca="false">G20+H20</f>
        <v>-305.86</v>
      </c>
    </row>
    <row r="21" customFormat="false" ht="15" hidden="false" customHeight="false" outlineLevel="0" collapsed="false">
      <c r="B21" s="5" t="n">
        <v>4000</v>
      </c>
      <c r="C21" s="5" t="s">
        <v>4</v>
      </c>
      <c r="D21" s="20" t="n">
        <f aca="false">Translation!F18</f>
        <v>-14000</v>
      </c>
      <c r="E21" s="20" t="n">
        <f aca="false">Translation!I18</f>
        <v>-4200</v>
      </c>
      <c r="F21" s="20" t="n">
        <f aca="false">Translation!L18</f>
        <v>-3924</v>
      </c>
      <c r="G21" s="6" t="n">
        <f aca="false">SUM(D21:F21)</f>
        <v>-22124</v>
      </c>
      <c r="H21" s="20" t="n">
        <f aca="false">SUMIFS(Eliminations!$F$6:$F$43,Eliminations!$D$6:$D$43,$B21)</f>
        <v>0</v>
      </c>
      <c r="I21" s="21" t="n">
        <f aca="false">G21+H21</f>
        <v>-22124</v>
      </c>
    </row>
    <row r="22" customFormat="false" ht="15" hidden="false" customHeight="false" outlineLevel="0" collapsed="false">
      <c r="B22" s="5" t="n">
        <v>4050</v>
      </c>
      <c r="C22" s="5" t="s">
        <v>141</v>
      </c>
      <c r="D22" s="20" t="n">
        <f aca="false">Translation!F19</f>
        <v>0</v>
      </c>
      <c r="E22" s="20" t="n">
        <f aca="false">Translation!I19</f>
        <v>-800</v>
      </c>
      <c r="F22" s="20" t="n">
        <f aca="false">Translation!L19</f>
        <v>0</v>
      </c>
      <c r="G22" s="6" t="n">
        <f aca="false">SUM(D22:F22)</f>
        <v>-800</v>
      </c>
      <c r="H22" s="20" t="n">
        <f aca="false">SUMIFS(Eliminations!$F$6:$F$43,Eliminations!$D$6:$D$43,$B22)</f>
        <v>800</v>
      </c>
      <c r="I22" s="21" t="n">
        <f aca="false">G22+H22</f>
        <v>0</v>
      </c>
    </row>
    <row r="23" customFormat="false" ht="15" hidden="false" customHeight="false" outlineLevel="0" collapsed="false">
      <c r="B23" s="5" t="n">
        <v>4100</v>
      </c>
      <c r="C23" s="5" t="s">
        <v>142</v>
      </c>
      <c r="D23" s="20" t="n">
        <f aca="false">Translation!F20</f>
        <v>-131.69</v>
      </c>
      <c r="E23" s="20" t="n">
        <f aca="false">Translation!I20</f>
        <v>0</v>
      </c>
      <c r="F23" s="20" t="n">
        <f aca="false">Translation!L20</f>
        <v>0</v>
      </c>
      <c r="G23" s="6" t="n">
        <f aca="false">SUM(D23:F23)</f>
        <v>-131.69</v>
      </c>
      <c r="H23" s="20" t="n">
        <f aca="false">SUMIFS(Eliminations!$F$6:$F$43,Eliminations!$D$6:$D$43,$B23)</f>
        <v>131.69</v>
      </c>
      <c r="I23" s="21" t="n">
        <f aca="false">G23+H23</f>
        <v>0</v>
      </c>
    </row>
    <row r="24" customFormat="false" ht="15" hidden="false" customHeight="false" outlineLevel="0" collapsed="false">
      <c r="B24" s="5" t="n">
        <v>4200</v>
      </c>
      <c r="C24" s="5" t="s">
        <v>143</v>
      </c>
      <c r="D24" s="20" t="n">
        <v>0</v>
      </c>
      <c r="E24" s="20" t="n">
        <v>0</v>
      </c>
      <c r="F24" s="20" t="n">
        <v>0</v>
      </c>
      <c r="G24" s="6" t="n">
        <f aca="false">SUM(D24:F24)</f>
        <v>0</v>
      </c>
      <c r="H24" s="20" t="n">
        <f aca="false">SUMIFS(Eliminations!$F$6:$F$43,Eliminations!$D$6:$D$43,$B24)</f>
        <v>-259.718</v>
      </c>
      <c r="I24" s="21" t="n">
        <f aca="false">G24+H24</f>
        <v>-259.718</v>
      </c>
    </row>
    <row r="25" customFormat="false" ht="15" hidden="false" customHeight="false" outlineLevel="0" collapsed="false">
      <c r="B25" s="5" t="n">
        <v>5000</v>
      </c>
      <c r="C25" s="5" t="s">
        <v>5</v>
      </c>
      <c r="D25" s="20" t="n">
        <f aca="false">Translation!F21</f>
        <v>7600</v>
      </c>
      <c r="E25" s="20" t="n">
        <f aca="false">Translation!I21</f>
        <v>3000</v>
      </c>
      <c r="F25" s="20" t="n">
        <f aca="false">Translation!L21</f>
        <v>2398</v>
      </c>
      <c r="G25" s="6" t="n">
        <f aca="false">SUM(D25:F25)</f>
        <v>12998</v>
      </c>
      <c r="H25" s="20" t="n">
        <f aca="false">SUMIFS(Eliminations!$F$6:$F$43,Eliminations!$D$6:$D$43,$B25)</f>
        <v>62</v>
      </c>
      <c r="I25" s="21" t="n">
        <f aca="false">G25+H25</f>
        <v>13060</v>
      </c>
    </row>
    <row r="26" customFormat="false" ht="15" hidden="false" customHeight="false" outlineLevel="0" collapsed="false">
      <c r="B26" s="5" t="n">
        <v>5050</v>
      </c>
      <c r="C26" s="5" t="s">
        <v>144</v>
      </c>
      <c r="D26" s="20" t="n">
        <f aca="false">Translation!F22</f>
        <v>800</v>
      </c>
      <c r="E26" s="20" t="n">
        <f aca="false">Translation!I22</f>
        <v>0</v>
      </c>
      <c r="F26" s="20" t="n">
        <f aca="false">Translation!L22</f>
        <v>0</v>
      </c>
      <c r="G26" s="6" t="n">
        <f aca="false">SUM(D26:F26)</f>
        <v>800</v>
      </c>
      <c r="H26" s="20" t="n">
        <f aca="false">SUMIFS(Eliminations!$F$6:$F$43,Eliminations!$D$6:$D$43,$B26)</f>
        <v>-800</v>
      </c>
      <c r="I26" s="21" t="n">
        <f aca="false">G26+H26</f>
        <v>0</v>
      </c>
    </row>
    <row r="27" customFormat="false" ht="15" hidden="false" customHeight="false" outlineLevel="0" collapsed="false">
      <c r="B27" s="5" t="n">
        <v>6000</v>
      </c>
      <c r="C27" s="5" t="s">
        <v>7</v>
      </c>
      <c r="D27" s="20" t="n">
        <f aca="false">Translation!F23</f>
        <v>3100</v>
      </c>
      <c r="E27" s="20" t="n">
        <f aca="false">Translation!I23</f>
        <v>950</v>
      </c>
      <c r="F27" s="20" t="n">
        <f aca="false">Translation!L23</f>
        <v>872</v>
      </c>
      <c r="G27" s="6" t="n">
        <f aca="false">SUM(D27:F27)</f>
        <v>4922</v>
      </c>
      <c r="H27" s="20" t="n">
        <f aca="false">SUMIFS(Eliminations!$F$6:$F$43,Eliminations!$D$6:$D$43,$B27)</f>
        <v>0</v>
      </c>
      <c r="I27" s="21" t="n">
        <f aca="false">G27+H27</f>
        <v>4922</v>
      </c>
    </row>
    <row r="28" customFormat="false" ht="15" hidden="false" customHeight="false" outlineLevel="0" collapsed="false">
      <c r="B28" s="5" t="n">
        <v>7000</v>
      </c>
      <c r="C28" s="5" t="s">
        <v>11</v>
      </c>
      <c r="D28" s="20" t="n">
        <f aca="false">Translation!F24</f>
        <v>280</v>
      </c>
      <c r="E28" s="20" t="n">
        <f aca="false">Translation!I24</f>
        <v>60</v>
      </c>
      <c r="F28" s="20" t="n">
        <f aca="false">Translation!L24</f>
        <v>32.7</v>
      </c>
      <c r="G28" s="6" t="n">
        <f aca="false">SUM(D28:F28)</f>
        <v>372.7</v>
      </c>
      <c r="H28" s="20" t="n">
        <f aca="false">SUMIFS(Eliminations!$F$6:$F$43,Eliminations!$D$6:$D$43,$B28)</f>
        <v>0</v>
      </c>
      <c r="I28" s="21" t="n">
        <f aca="false">G28+H28</f>
        <v>372.7</v>
      </c>
    </row>
    <row r="29" customFormat="false" ht="15" hidden="false" customHeight="false" outlineLevel="0" collapsed="false">
      <c r="B29" s="5" t="n">
        <v>8000</v>
      </c>
      <c r="C29" s="5" t="s">
        <v>13</v>
      </c>
      <c r="D29" s="20" t="n">
        <f aca="false">Translation!F25</f>
        <v>450</v>
      </c>
      <c r="E29" s="20" t="n">
        <f aca="false">Translation!I25</f>
        <v>250</v>
      </c>
      <c r="F29" s="20" t="n">
        <f aca="false">Translation!L25</f>
        <v>152.6</v>
      </c>
      <c r="G29" s="6" t="n">
        <f aca="false">SUM(D29:F29)</f>
        <v>852.6</v>
      </c>
      <c r="H29" s="20" t="n">
        <f aca="false">SUMIFS(Eliminations!$F$6:$F$43,Eliminations!$D$6:$D$43,$B29)</f>
        <v>0</v>
      </c>
      <c r="I29" s="21" t="n">
        <f aca="false">G29+H29</f>
        <v>852.6</v>
      </c>
    </row>
    <row r="30" customFormat="false" ht="15" hidden="false" customHeight="false" outlineLevel="0" collapsed="false">
      <c r="C30" s="7" t="s">
        <v>145</v>
      </c>
      <c r="D30" s="8" t="n">
        <f aca="false">ROUND(SUM(D6:D29),2)</f>
        <v>0</v>
      </c>
      <c r="E30" s="8" t="n">
        <f aca="false">ROUND(SUM(E6:E29),2)</f>
        <v>0</v>
      </c>
      <c r="F30" s="8" t="n">
        <f aca="false">ROUND(SUM(F6:F29),2)</f>
        <v>0</v>
      </c>
      <c r="G30" s="8" t="n">
        <f aca="false">ROUND(SUM(G6:G29),2)</f>
        <v>0</v>
      </c>
      <c r="H30" s="8" t="n">
        <f aca="false">ROUND(SUM(H6:H29),2)</f>
        <v>0</v>
      </c>
      <c r="I30" s="8" t="n">
        <f aca="false">ROUND(SUM(I6:I29),2)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72"/>
    <col collapsed="false" customWidth="true" hidden="false" outlineLevel="0" max="4" min="4" style="0" width="8"/>
    <col collapsed="false" customWidth="true" hidden="false" outlineLevel="0" max="5" min="5" style="0" width="30"/>
    <col collapsed="false" customWidth="true" hidden="false" outlineLevel="0" max="6" min="6" style="0" width="12"/>
  </cols>
  <sheetData>
    <row r="1" customFormat="false" ht="17.35" hidden="false" customHeight="false" outlineLevel="0" collapsed="false">
      <c r="B1" s="1" t="s">
        <v>0</v>
      </c>
    </row>
    <row r="2" customFormat="false" ht="15" hidden="false" customHeight="false" outlineLevel="0" collapsed="false">
      <c r="B2" s="2" t="s">
        <v>146</v>
      </c>
    </row>
    <row r="3" customFormat="false" ht="15" hidden="false" customHeight="false" outlineLevel="0" collapsed="false">
      <c r="B3" s="3" t="s">
        <v>2</v>
      </c>
    </row>
    <row r="5" customFormat="false" ht="15" hidden="false" customHeight="false" outlineLevel="0" collapsed="false">
      <c r="B5" s="4" t="s">
        <v>147</v>
      </c>
      <c r="C5" s="4" t="s">
        <v>148</v>
      </c>
      <c r="D5" s="19" t="s">
        <v>128</v>
      </c>
      <c r="E5" s="19" t="s">
        <v>129</v>
      </c>
      <c r="F5" s="19" t="s">
        <v>149</v>
      </c>
    </row>
    <row r="6" customFormat="false" ht="15" hidden="false" customHeight="false" outlineLevel="0" collapsed="false">
      <c r="B6" s="5" t="n">
        <v>1</v>
      </c>
      <c r="C6" s="5" t="s">
        <v>150</v>
      </c>
      <c r="D6" s="5" t="n">
        <v>3000</v>
      </c>
      <c r="E6" s="5" t="s">
        <v>30</v>
      </c>
      <c r="F6" s="20" t="n">
        <f aca="false">(-Translation!I16)</f>
        <v>1000</v>
      </c>
    </row>
    <row r="7" customFormat="false" ht="15" hidden="false" customHeight="false" outlineLevel="0" collapsed="false">
      <c r="B7" s="5" t="n">
        <v>1</v>
      </c>
      <c r="C7" s="5" t="s">
        <v>150</v>
      </c>
      <c r="D7" s="5" t="n">
        <v>3100</v>
      </c>
      <c r="E7" s="5" t="s">
        <v>140</v>
      </c>
      <c r="F7" s="20" t="n">
        <f aca="false">Inputs!$G$7</f>
        <v>1200</v>
      </c>
    </row>
    <row r="8" customFormat="false" ht="15" hidden="false" customHeight="false" outlineLevel="0" collapsed="false">
      <c r="B8" s="5" t="n">
        <v>1</v>
      </c>
      <c r="C8" s="5" t="s">
        <v>150</v>
      </c>
      <c r="D8" s="5" t="n">
        <v>1700</v>
      </c>
      <c r="E8" s="5" t="s">
        <v>20</v>
      </c>
      <c r="F8" s="20" t="n">
        <f aca="false">Inputs!$F$7-Inputs!$E$7*((-Translation!I16)+Inputs!$G$7)</f>
        <v>500</v>
      </c>
    </row>
    <row r="9" customFormat="false" ht="15" hidden="false" customHeight="false" outlineLevel="0" collapsed="false">
      <c r="B9" s="5" t="n">
        <v>1</v>
      </c>
      <c r="C9" s="5" t="s">
        <v>150</v>
      </c>
      <c r="D9" s="5" t="n">
        <v>1600</v>
      </c>
      <c r="E9" s="5" t="s">
        <v>137</v>
      </c>
      <c r="F9" s="20" t="n">
        <f aca="false">-Inputs!$F$7</f>
        <v>-2700</v>
      </c>
    </row>
    <row r="10" customFormat="false" ht="15" hidden="false" customHeight="false" outlineLevel="0" collapsed="false">
      <c r="B10" s="5" t="n">
        <v>1</v>
      </c>
      <c r="C10" s="5" t="s">
        <v>150</v>
      </c>
      <c r="D10" s="5" t="n">
        <v>3300</v>
      </c>
      <c r="E10" s="5" t="s">
        <v>34</v>
      </c>
      <c r="F10" s="20" t="n">
        <f aca="false">-(1-Inputs!$E$7)*((-Translation!I16)+Inputs!$G$7)</f>
        <v>-0</v>
      </c>
    </row>
    <row r="11" customFormat="false" ht="15" hidden="false" customHeight="false" outlineLevel="0" collapsed="false">
      <c r="B11" s="5" t="n">
        <v>2</v>
      </c>
      <c r="C11" s="5" t="s">
        <v>151</v>
      </c>
      <c r="D11" s="5" t="n">
        <v>3000</v>
      </c>
      <c r="E11" s="5" t="s">
        <v>30</v>
      </c>
      <c r="F11" s="20" t="n">
        <f aca="false">(-Translation!L16)</f>
        <v>1100</v>
      </c>
    </row>
    <row r="12" customFormat="false" ht="15" hidden="false" customHeight="false" outlineLevel="0" collapsed="false">
      <c r="B12" s="5" t="n">
        <v>2</v>
      </c>
      <c r="C12" s="5" t="s">
        <v>151</v>
      </c>
      <c r="D12" s="5" t="n">
        <v>3100</v>
      </c>
      <c r="E12" s="5" t="s">
        <v>140</v>
      </c>
      <c r="F12" s="20" t="n">
        <f aca="false">Inputs!$G$8</f>
        <v>0</v>
      </c>
    </row>
    <row r="13" customFormat="false" ht="15" hidden="false" customHeight="false" outlineLevel="0" collapsed="false">
      <c r="B13" s="5" t="n">
        <v>2</v>
      </c>
      <c r="C13" s="5" t="s">
        <v>151</v>
      </c>
      <c r="D13" s="5" t="n">
        <v>1700</v>
      </c>
      <c r="E13" s="5" t="s">
        <v>20</v>
      </c>
      <c r="F13" s="20" t="n">
        <f aca="false">Inputs!$F$8-Inputs!$E$8*((-Translation!L16)+Inputs!$G$8)</f>
        <v>0</v>
      </c>
    </row>
    <row r="14" customFormat="false" ht="15" hidden="false" customHeight="false" outlineLevel="0" collapsed="false">
      <c r="B14" s="5" t="n">
        <v>2</v>
      </c>
      <c r="C14" s="5" t="s">
        <v>151</v>
      </c>
      <c r="D14" s="5" t="n">
        <v>1600</v>
      </c>
      <c r="E14" s="5" t="s">
        <v>137</v>
      </c>
      <c r="F14" s="20" t="n">
        <f aca="false">-Inputs!$F$8</f>
        <v>-880</v>
      </c>
    </row>
    <row r="15" customFormat="false" ht="15" hidden="false" customHeight="false" outlineLevel="0" collapsed="false">
      <c r="B15" s="5" t="n">
        <v>2</v>
      </c>
      <c r="C15" s="5" t="s">
        <v>151</v>
      </c>
      <c r="D15" s="5" t="n">
        <v>3300</v>
      </c>
      <c r="E15" s="5" t="s">
        <v>34</v>
      </c>
      <c r="F15" s="20" t="n">
        <f aca="false">-(1-Inputs!$E$8)*((-Translation!L16)+Inputs!$G$8)</f>
        <v>-220</v>
      </c>
    </row>
    <row r="16" customFormat="false" ht="15" hidden="false" customHeight="false" outlineLevel="0" collapsed="false">
      <c r="B16" s="5" t="n">
        <v>3</v>
      </c>
      <c r="C16" s="5" t="s">
        <v>152</v>
      </c>
      <c r="D16" s="5" t="n">
        <v>3100</v>
      </c>
      <c r="E16" s="5" t="s">
        <v>140</v>
      </c>
      <c r="F16" s="20" t="n">
        <f aca="false">(1-Inputs!$E$8)*(-Translation!L17-Inputs!$G$8)</f>
        <v>92</v>
      </c>
    </row>
    <row r="17" customFormat="false" ht="15" hidden="false" customHeight="false" outlineLevel="0" collapsed="false">
      <c r="B17" s="5" t="n">
        <v>3</v>
      </c>
      <c r="C17" s="5" t="s">
        <v>152</v>
      </c>
      <c r="D17" s="5" t="n">
        <v>3300</v>
      </c>
      <c r="E17" s="5" t="s">
        <v>34</v>
      </c>
      <c r="F17" s="20" t="n">
        <f aca="false">-(1-Inputs!$E$8)*(-Translation!L17-Inputs!$G$8)</f>
        <v>-92</v>
      </c>
    </row>
    <row r="18" customFormat="false" ht="15" hidden="false" customHeight="false" outlineLevel="0" collapsed="false">
      <c r="B18" s="5" t="n">
        <v>3</v>
      </c>
      <c r="C18" s="5" t="s">
        <v>152</v>
      </c>
      <c r="D18" s="5" t="n">
        <v>3200</v>
      </c>
      <c r="E18" s="5" t="s">
        <v>32</v>
      </c>
      <c r="F18" s="20" t="n">
        <f aca="false">-(1-Inputs!$E$8)*Translation!L26</f>
        <v>-6.14000000000003</v>
      </c>
    </row>
    <row r="19" customFormat="false" ht="15" hidden="false" customHeight="false" outlineLevel="0" collapsed="false">
      <c r="B19" s="5" t="n">
        <v>3</v>
      </c>
      <c r="C19" s="5" t="s">
        <v>152</v>
      </c>
      <c r="D19" s="5" t="n">
        <v>3300</v>
      </c>
      <c r="E19" s="5" t="s">
        <v>34</v>
      </c>
      <c r="F19" s="20" t="n">
        <f aca="false">(1-Inputs!$E$8)*Translation!L26</f>
        <v>6.14000000000003</v>
      </c>
    </row>
    <row r="20" customFormat="false" ht="15" hidden="false" customHeight="false" outlineLevel="0" collapsed="false">
      <c r="B20" s="5" t="n">
        <v>4</v>
      </c>
      <c r="C20" s="5" t="s">
        <v>153</v>
      </c>
      <c r="D20" s="5" t="n">
        <v>2150</v>
      </c>
      <c r="E20" s="5" t="s">
        <v>139</v>
      </c>
      <c r="F20" s="20" t="n">
        <f aca="false">Inputs!$F$18</f>
        <v>150</v>
      </c>
    </row>
    <row r="21" customFormat="false" ht="15" hidden="false" customHeight="false" outlineLevel="0" collapsed="false">
      <c r="B21" s="5" t="n">
        <v>4</v>
      </c>
      <c r="C21" s="5" t="s">
        <v>153</v>
      </c>
      <c r="D21" s="5" t="n">
        <v>1150</v>
      </c>
      <c r="E21" s="5" t="s">
        <v>136</v>
      </c>
      <c r="F21" s="20" t="n">
        <f aca="false">-Inputs!$F$18</f>
        <v>-150</v>
      </c>
    </row>
    <row r="22" customFormat="false" ht="15" hidden="false" customHeight="false" outlineLevel="0" collapsed="false">
      <c r="B22" s="5" t="n">
        <v>5</v>
      </c>
      <c r="C22" s="5" t="s">
        <v>154</v>
      </c>
      <c r="D22" s="5" t="n">
        <v>2150</v>
      </c>
      <c r="E22" s="5" t="s">
        <v>139</v>
      </c>
      <c r="F22" s="20" t="n">
        <f aca="false">Inputs!$F$19</f>
        <v>540</v>
      </c>
    </row>
    <row r="23" customFormat="false" ht="15" hidden="false" customHeight="false" outlineLevel="0" collapsed="false">
      <c r="B23" s="5" t="n">
        <v>5</v>
      </c>
      <c r="C23" s="5" t="s">
        <v>154</v>
      </c>
      <c r="D23" s="5" t="n">
        <v>1150</v>
      </c>
      <c r="E23" s="5" t="s">
        <v>136</v>
      </c>
      <c r="F23" s="20" t="n">
        <f aca="false">-Inputs!$F$19</f>
        <v>-540</v>
      </c>
    </row>
    <row r="24" customFormat="false" ht="15" hidden="false" customHeight="false" outlineLevel="0" collapsed="false">
      <c r="B24" s="5" t="n">
        <v>6</v>
      </c>
      <c r="C24" s="5" t="s">
        <v>155</v>
      </c>
      <c r="D24" s="5" t="n">
        <v>4050</v>
      </c>
      <c r="E24" s="5" t="s">
        <v>141</v>
      </c>
      <c r="F24" s="20" t="n">
        <f aca="false">Inputs!$F$20</f>
        <v>800</v>
      </c>
    </row>
    <row r="25" customFormat="false" ht="15" hidden="false" customHeight="false" outlineLevel="0" collapsed="false">
      <c r="B25" s="5" t="n">
        <v>6</v>
      </c>
      <c r="C25" s="5" t="s">
        <v>155</v>
      </c>
      <c r="D25" s="5" t="n">
        <v>5050</v>
      </c>
      <c r="E25" s="5" t="s">
        <v>144</v>
      </c>
      <c r="F25" s="20" t="n">
        <f aca="false">-Inputs!$F$20</f>
        <v>-800</v>
      </c>
    </row>
    <row r="26" customFormat="false" ht="15" hidden="false" customHeight="false" outlineLevel="0" collapsed="false">
      <c r="B26" s="5" t="n">
        <v>7</v>
      </c>
      <c r="C26" s="5" t="s">
        <v>156</v>
      </c>
      <c r="D26" s="5" t="n">
        <v>5000</v>
      </c>
      <c r="E26" s="5" t="s">
        <v>5</v>
      </c>
      <c r="F26" s="20" t="n">
        <f aca="false">Inputs!$F$21</f>
        <v>50</v>
      </c>
    </row>
    <row r="27" customFormat="false" ht="15" hidden="false" customHeight="false" outlineLevel="0" collapsed="false">
      <c r="B27" s="5" t="n">
        <v>7</v>
      </c>
      <c r="C27" s="5" t="s">
        <v>156</v>
      </c>
      <c r="D27" s="5" t="n">
        <v>1200</v>
      </c>
      <c r="E27" s="5" t="s">
        <v>24</v>
      </c>
      <c r="F27" s="20" t="n">
        <f aca="false">-Inputs!$F$21</f>
        <v>-50</v>
      </c>
    </row>
    <row r="28" customFormat="false" ht="15" hidden="false" customHeight="false" outlineLevel="0" collapsed="false">
      <c r="B28" s="5" t="n">
        <v>8</v>
      </c>
      <c r="C28" s="5" t="s">
        <v>157</v>
      </c>
      <c r="D28" s="5" t="n">
        <v>1650</v>
      </c>
      <c r="E28" s="5" t="s">
        <v>138</v>
      </c>
      <c r="F28" s="20" t="n">
        <f aca="false">Associates!D25</f>
        <v>122.535</v>
      </c>
    </row>
    <row r="29" customFormat="false" ht="15" hidden="false" customHeight="false" outlineLevel="0" collapsed="false">
      <c r="B29" s="5" t="n">
        <v>8</v>
      </c>
      <c r="C29" s="5" t="s">
        <v>157</v>
      </c>
      <c r="D29" s="5" t="n">
        <v>3100</v>
      </c>
      <c r="E29" s="5" t="s">
        <v>140</v>
      </c>
      <c r="F29" s="20" t="n">
        <f aca="false">-Associates!D25</f>
        <v>-122.535</v>
      </c>
    </row>
    <row r="30" customFormat="false" ht="15" hidden="false" customHeight="false" outlineLevel="0" collapsed="false">
      <c r="B30" s="5" t="n">
        <v>9</v>
      </c>
      <c r="C30" s="5" t="s">
        <v>158</v>
      </c>
      <c r="D30" s="5" t="n">
        <v>1650</v>
      </c>
      <c r="E30" s="5" t="s">
        <v>138</v>
      </c>
      <c r="F30" s="20" t="n">
        <f aca="false">Associates!D27</f>
        <v>179.718</v>
      </c>
    </row>
    <row r="31" customFormat="false" ht="15" hidden="false" customHeight="false" outlineLevel="0" collapsed="false">
      <c r="B31" s="5" t="n">
        <v>9</v>
      </c>
      <c r="C31" s="5" t="s">
        <v>158</v>
      </c>
      <c r="D31" s="5" t="n">
        <v>4200</v>
      </c>
      <c r="E31" s="5" t="s">
        <v>143</v>
      </c>
      <c r="F31" s="20" t="n">
        <f aca="false">-Associates!D27</f>
        <v>-179.718</v>
      </c>
    </row>
    <row r="32" customFormat="false" ht="15" hidden="false" customHeight="false" outlineLevel="0" collapsed="false">
      <c r="B32" s="5" t="n">
        <v>10</v>
      </c>
      <c r="C32" s="5" t="s">
        <v>159</v>
      </c>
      <c r="D32" s="5" t="n">
        <v>4100</v>
      </c>
      <c r="E32" s="5" t="s">
        <v>142</v>
      </c>
      <c r="F32" s="20" t="n">
        <f aca="false">-Associates!D28</f>
        <v>81.69</v>
      </c>
    </row>
    <row r="33" customFormat="false" ht="15" hidden="false" customHeight="false" outlineLevel="0" collapsed="false">
      <c r="B33" s="5" t="n">
        <v>10</v>
      </c>
      <c r="C33" s="5" t="s">
        <v>159</v>
      </c>
      <c r="D33" s="5" t="n">
        <v>1650</v>
      </c>
      <c r="E33" s="5" t="s">
        <v>138</v>
      </c>
      <c r="F33" s="20" t="n">
        <f aca="false">Associates!D28</f>
        <v>-81.69</v>
      </c>
    </row>
    <row r="34" customFormat="false" ht="15" hidden="false" customHeight="false" outlineLevel="0" collapsed="false">
      <c r="B34" s="5" t="n">
        <v>11</v>
      </c>
      <c r="C34" s="5" t="s">
        <v>160</v>
      </c>
      <c r="D34" s="5" t="n">
        <v>5000</v>
      </c>
      <c r="E34" s="5" t="s">
        <v>5</v>
      </c>
      <c r="F34" s="20" t="n">
        <f aca="false">-Associates!D30</f>
        <v>12</v>
      </c>
    </row>
    <row r="35" customFormat="false" ht="15" hidden="false" customHeight="false" outlineLevel="0" collapsed="false">
      <c r="B35" s="5" t="n">
        <v>11</v>
      </c>
      <c r="C35" s="5" t="s">
        <v>160</v>
      </c>
      <c r="D35" s="5" t="n">
        <v>1650</v>
      </c>
      <c r="E35" s="5" t="s">
        <v>138</v>
      </c>
      <c r="F35" s="20" t="n">
        <f aca="false">Associates!D30</f>
        <v>-12</v>
      </c>
    </row>
    <row r="36" customFormat="false" ht="15" hidden="false" customHeight="false" outlineLevel="0" collapsed="false">
      <c r="B36" s="5" t="n">
        <v>12</v>
      </c>
      <c r="C36" s="5" t="s">
        <v>161</v>
      </c>
      <c r="D36" s="5" t="n">
        <v>1650</v>
      </c>
      <c r="E36" s="5" t="s">
        <v>138</v>
      </c>
      <c r="F36" s="20" t="n">
        <f aca="false">Associates!E25</f>
        <v>100</v>
      </c>
    </row>
    <row r="37" customFormat="false" ht="15" hidden="false" customHeight="false" outlineLevel="0" collapsed="false">
      <c r="B37" s="5" t="n">
        <v>12</v>
      </c>
      <c r="C37" s="5" t="s">
        <v>161</v>
      </c>
      <c r="D37" s="5" t="n">
        <v>3100</v>
      </c>
      <c r="E37" s="5" t="s">
        <v>140</v>
      </c>
      <c r="F37" s="20" t="n">
        <f aca="false">-Associates!E25</f>
        <v>-100</v>
      </c>
    </row>
    <row r="38" customFormat="false" ht="15" hidden="false" customHeight="false" outlineLevel="0" collapsed="false">
      <c r="B38" s="5" t="n">
        <v>13</v>
      </c>
      <c r="C38" s="5" t="s">
        <v>162</v>
      </c>
      <c r="D38" s="5" t="n">
        <v>1650</v>
      </c>
      <c r="E38" s="5" t="s">
        <v>138</v>
      </c>
      <c r="F38" s="20" t="n">
        <f aca="false">Associates!E27</f>
        <v>120</v>
      </c>
    </row>
    <row r="39" customFormat="false" ht="15" hidden="false" customHeight="false" outlineLevel="0" collapsed="false">
      <c r="B39" s="5" t="n">
        <v>13</v>
      </c>
      <c r="C39" s="5" t="s">
        <v>162</v>
      </c>
      <c r="D39" s="5" t="n">
        <v>4200</v>
      </c>
      <c r="E39" s="5" t="s">
        <v>143</v>
      </c>
      <c r="F39" s="20" t="n">
        <f aca="false">-Associates!E27</f>
        <v>-120</v>
      </c>
    </row>
    <row r="40" customFormat="false" ht="15" hidden="false" customHeight="false" outlineLevel="0" collapsed="false">
      <c r="B40" s="5" t="n">
        <v>14</v>
      </c>
      <c r="C40" s="5" t="s">
        <v>163</v>
      </c>
      <c r="D40" s="5" t="n">
        <v>4100</v>
      </c>
      <c r="E40" s="5" t="s">
        <v>142</v>
      </c>
      <c r="F40" s="20" t="n">
        <f aca="false">-Associates!E28</f>
        <v>50</v>
      </c>
    </row>
    <row r="41" customFormat="false" ht="15" hidden="false" customHeight="false" outlineLevel="0" collapsed="false">
      <c r="B41" s="5" t="n">
        <v>14</v>
      </c>
      <c r="C41" s="5" t="s">
        <v>163</v>
      </c>
      <c r="D41" s="5" t="n">
        <v>1650</v>
      </c>
      <c r="E41" s="5" t="s">
        <v>138</v>
      </c>
      <c r="F41" s="20" t="n">
        <f aca="false">Associates!E28</f>
        <v>-50</v>
      </c>
    </row>
    <row r="42" customFormat="false" ht="15" hidden="false" customHeight="false" outlineLevel="0" collapsed="false">
      <c r="B42" s="5" t="n">
        <v>15</v>
      </c>
      <c r="C42" s="5" t="s">
        <v>164</v>
      </c>
      <c r="D42" s="5" t="n">
        <v>4200</v>
      </c>
      <c r="E42" s="5" t="s">
        <v>143</v>
      </c>
      <c r="F42" s="20" t="n">
        <f aca="false">-Associates!E29</f>
        <v>40</v>
      </c>
    </row>
    <row r="43" customFormat="false" ht="15" hidden="false" customHeight="false" outlineLevel="0" collapsed="false">
      <c r="B43" s="5" t="n">
        <v>15</v>
      </c>
      <c r="C43" s="5" t="s">
        <v>164</v>
      </c>
      <c r="D43" s="5" t="n">
        <v>1650</v>
      </c>
      <c r="E43" s="5" t="s">
        <v>138</v>
      </c>
      <c r="F43" s="20" t="n">
        <f aca="false">Associates!E29</f>
        <v>-40</v>
      </c>
    </row>
    <row r="44" customFormat="false" ht="15" hidden="false" customHeight="false" outlineLevel="0" collapsed="false">
      <c r="E44" s="7" t="s">
        <v>165</v>
      </c>
      <c r="F44" s="8" t="n">
        <f aca="false">ROUND(SUM(F6:F43),2)</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2"/>
    <col collapsed="false" customWidth="true" hidden="false" outlineLevel="0" max="6" min="4" style="0" width="20"/>
  </cols>
  <sheetData>
    <row r="1" customFormat="false" ht="17.35" hidden="false" customHeight="false" outlineLevel="0" collapsed="false">
      <c r="B1" s="1" t="s">
        <v>0</v>
      </c>
    </row>
    <row r="2" customFormat="false" ht="15" hidden="false" customHeight="false" outlineLevel="0" collapsed="false">
      <c r="B2" s="2" t="s">
        <v>166</v>
      </c>
    </row>
    <row r="3" customFormat="false" ht="15" hidden="false" customHeight="false" outlineLevel="0" collapsed="false">
      <c r="B3" s="3" t="s">
        <v>2</v>
      </c>
    </row>
    <row r="5" customFormat="false" ht="15" hidden="false" customHeight="false" outlineLevel="0" collapsed="false">
      <c r="B5" s="4"/>
      <c r="C5" s="4"/>
      <c r="D5" s="19" t="s">
        <v>167</v>
      </c>
      <c r="E5" s="19" t="s">
        <v>168</v>
      </c>
      <c r="F5" s="19" t="s">
        <v>169</v>
      </c>
    </row>
    <row r="6" customFormat="false" ht="15" hidden="false" customHeight="false" outlineLevel="0" collapsed="false">
      <c r="B6" s="5" t="s">
        <v>170</v>
      </c>
      <c r="D6" s="22" t="s">
        <v>65</v>
      </c>
      <c r="E6" s="22" t="s">
        <v>70</v>
      </c>
    </row>
    <row r="7" customFormat="false" ht="15" hidden="false" customHeight="false" outlineLevel="0" collapsed="false">
      <c r="B7" s="5" t="s">
        <v>171</v>
      </c>
      <c r="D7" s="22" t="s">
        <v>172</v>
      </c>
      <c r="E7" s="22" t="s">
        <v>173</v>
      </c>
    </row>
    <row r="8" customFormat="false" ht="15" hidden="false" customHeight="false" outlineLevel="0" collapsed="false">
      <c r="B8" s="5" t="s">
        <v>46</v>
      </c>
      <c r="D8" s="23" t="n">
        <v>0.3</v>
      </c>
      <c r="E8" s="23" t="n">
        <v>0.25</v>
      </c>
    </row>
    <row r="9" customFormat="false" ht="15" hidden="false" customHeight="false" outlineLevel="0" collapsed="false">
      <c r="B9" s="5" t="s">
        <v>174</v>
      </c>
      <c r="D9" s="24" t="n">
        <v>900</v>
      </c>
      <c r="E9" s="24" t="n">
        <v>600</v>
      </c>
      <c r="F9" s="21" t="n">
        <f aca="false">SUM(D9:E9)</f>
        <v>1500</v>
      </c>
    </row>
    <row r="10" customFormat="false" ht="15" hidden="false" customHeight="false" outlineLevel="0" collapsed="false">
      <c r="B10" s="5" t="s">
        <v>175</v>
      </c>
      <c r="D10" s="24" t="n">
        <v>9000</v>
      </c>
      <c r="E10" s="24" t="n">
        <v>2000</v>
      </c>
    </row>
    <row r="11" customFormat="false" ht="15" hidden="false" customHeight="false" outlineLevel="0" collapsed="false">
      <c r="B11" s="5" t="s">
        <v>176</v>
      </c>
      <c r="D11" s="24" t="n">
        <v>3000</v>
      </c>
      <c r="E11" s="24" t="n">
        <v>800</v>
      </c>
    </row>
    <row r="12" customFormat="false" ht="15" hidden="false" customHeight="false" outlineLevel="0" collapsed="false">
      <c r="B12" s="5" t="s">
        <v>177</v>
      </c>
      <c r="D12" s="24" t="n">
        <v>4500</v>
      </c>
      <c r="E12" s="24" t="n">
        <v>1200</v>
      </c>
    </row>
    <row r="13" customFormat="false" ht="15" hidden="false" customHeight="false" outlineLevel="0" collapsed="false">
      <c r="B13" s="5" t="s">
        <v>178</v>
      </c>
      <c r="D13" s="24" t="n">
        <v>2200</v>
      </c>
      <c r="E13" s="24" t="n">
        <v>480</v>
      </c>
    </row>
    <row r="14" customFormat="false" ht="15" hidden="false" customHeight="false" outlineLevel="0" collapsed="false">
      <c r="B14" s="5" t="s">
        <v>179</v>
      </c>
      <c r="D14" s="24" t="n">
        <v>1000</v>
      </c>
      <c r="E14" s="24" t="n">
        <v>200</v>
      </c>
    </row>
    <row r="15" customFormat="false" ht="15" hidden="false" customHeight="false" outlineLevel="0" collapsed="false">
      <c r="B15" s="5" t="s">
        <v>180</v>
      </c>
      <c r="D15" s="24" t="n">
        <v>0</v>
      </c>
      <c r="E15" s="24" t="n">
        <v>40</v>
      </c>
      <c r="F15" s="21" t="n">
        <f aca="false">SUM(D15:E15)</f>
        <v>40</v>
      </c>
    </row>
    <row r="16" customFormat="false" ht="15" hidden="false" customHeight="false" outlineLevel="0" collapsed="false">
      <c r="B16" s="5" t="s">
        <v>181</v>
      </c>
      <c r="D16" s="25" t="n">
        <f aca="false">Inputs!$F$14</f>
        <v>0.2723</v>
      </c>
      <c r="E16" s="25" t="n">
        <f aca="false">Inputs!$F$12</f>
        <v>1</v>
      </c>
    </row>
    <row r="17" customFormat="false" ht="15" hidden="false" customHeight="false" outlineLevel="0" collapsed="false">
      <c r="B17" s="5" t="s">
        <v>182</v>
      </c>
      <c r="D17" s="25" t="n">
        <f aca="false">Inputs!$E$14</f>
        <v>0.2723</v>
      </c>
      <c r="E17" s="25" t="n">
        <f aca="false">Inputs!$E$12</f>
        <v>1</v>
      </c>
    </row>
    <row r="18" customFormat="false" ht="15" hidden="false" customHeight="false" outlineLevel="0" collapsed="false">
      <c r="B18" s="5" t="s">
        <v>183</v>
      </c>
      <c r="D18" s="25" t="n">
        <f aca="false">Inputs!$D$14</f>
        <v>0.2723</v>
      </c>
      <c r="E18" s="25" t="n">
        <f aca="false">Inputs!$D$12</f>
        <v>1</v>
      </c>
    </row>
    <row r="20" customFormat="false" ht="15" hidden="false" customHeight="false" outlineLevel="0" collapsed="false">
      <c r="B20" s="7" t="s">
        <v>184</v>
      </c>
    </row>
    <row r="21" customFormat="false" ht="15" hidden="false" customHeight="false" outlineLevel="0" collapsed="false">
      <c r="B21" s="5" t="s">
        <v>185</v>
      </c>
      <c r="D21" s="26" t="n">
        <f aca="false">D8*D10*D16</f>
        <v>735.21</v>
      </c>
      <c r="E21" s="26" t="n">
        <f aca="false">E8*E10*E16</f>
        <v>500</v>
      </c>
      <c r="F21" s="21" t="n">
        <f aca="false">SUM(D21:E21)</f>
        <v>1235.21</v>
      </c>
    </row>
    <row r="22" customFormat="false" ht="15" hidden="false" customHeight="false" outlineLevel="0" collapsed="false">
      <c r="B22" s="5" t="s">
        <v>186</v>
      </c>
      <c r="D22" s="26" t="n">
        <f aca="false">D9-D21</f>
        <v>164.79</v>
      </c>
      <c r="E22" s="26" t="n">
        <f aca="false">E9-E21</f>
        <v>100</v>
      </c>
      <c r="F22" s="21" t="n">
        <f aca="false">SUM(D22:E22)</f>
        <v>264.79</v>
      </c>
    </row>
    <row r="24" customFormat="false" ht="15" hidden="false" customHeight="false" outlineLevel="0" collapsed="false">
      <c r="B24" s="5" t="s">
        <v>187</v>
      </c>
      <c r="D24" s="26" t="n">
        <f aca="false">D9</f>
        <v>900</v>
      </c>
      <c r="E24" s="26" t="n">
        <f aca="false">E9</f>
        <v>600</v>
      </c>
      <c r="F24" s="21" t="n">
        <f aca="false">SUM(D24:E24)</f>
        <v>1500</v>
      </c>
    </row>
    <row r="25" customFormat="false" ht="15" hidden="false" customHeight="false" outlineLevel="0" collapsed="false">
      <c r="B25" s="5" t="s">
        <v>188</v>
      </c>
      <c r="D25" s="26" t="n">
        <f aca="false">D8*(D12-D11)*D16</f>
        <v>122.535</v>
      </c>
      <c r="E25" s="26" t="n">
        <f aca="false">E8*(E12-E11)*E16</f>
        <v>100</v>
      </c>
      <c r="F25" s="21" t="n">
        <f aca="false">SUM(D25:E25)</f>
        <v>222.535</v>
      </c>
    </row>
    <row r="26" customFormat="false" ht="15" hidden="false" customHeight="false" outlineLevel="0" collapsed="false">
      <c r="B26" s="7" t="s">
        <v>189</v>
      </c>
      <c r="D26" s="27" t="n">
        <f aca="false">D24+D25</f>
        <v>1022.535</v>
      </c>
      <c r="E26" s="27" t="n">
        <f aca="false">E24+E25</f>
        <v>700</v>
      </c>
      <c r="F26" s="21" t="n">
        <f aca="false">SUM(D26:E26)</f>
        <v>1722.535</v>
      </c>
    </row>
    <row r="27" customFormat="false" ht="15" hidden="false" customHeight="false" outlineLevel="0" collapsed="false">
      <c r="B27" s="5" t="s">
        <v>190</v>
      </c>
      <c r="D27" s="26" t="n">
        <f aca="false">D8*D13*D17</f>
        <v>179.718</v>
      </c>
      <c r="E27" s="26" t="n">
        <f aca="false">E8*E13*E17</f>
        <v>120</v>
      </c>
      <c r="F27" s="21" t="n">
        <f aca="false">SUM(D27:E27)</f>
        <v>299.718</v>
      </c>
    </row>
    <row r="28" customFormat="false" ht="15" hidden="false" customHeight="false" outlineLevel="0" collapsed="false">
      <c r="B28" s="5" t="s">
        <v>191</v>
      </c>
      <c r="D28" s="26" t="n">
        <f aca="false">-D8*D14*D17</f>
        <v>-81.69</v>
      </c>
      <c r="E28" s="26" t="n">
        <f aca="false">-E8*E14*E17</f>
        <v>-50</v>
      </c>
      <c r="F28" s="21" t="n">
        <f aca="false">SUM(D28:E28)</f>
        <v>-131.69</v>
      </c>
    </row>
    <row r="29" customFormat="false" ht="15" hidden="false" customHeight="false" outlineLevel="0" collapsed="false">
      <c r="B29" s="5" t="s">
        <v>192</v>
      </c>
      <c r="D29" s="26" t="n">
        <f aca="false">-D15</f>
        <v>-0</v>
      </c>
      <c r="E29" s="26" t="n">
        <f aca="false">-E15</f>
        <v>-40</v>
      </c>
      <c r="F29" s="21" t="n">
        <f aca="false">SUM(D29:E29)</f>
        <v>-40</v>
      </c>
    </row>
    <row r="30" customFormat="false" ht="15" hidden="false" customHeight="false" outlineLevel="0" collapsed="false">
      <c r="B30" s="5" t="s">
        <v>193</v>
      </c>
      <c r="D30" s="26" t="n">
        <f aca="false">-D8*SUMIFS(Inputs!$F$18:$F$22,Inputs!$B$18:$B$22,"associate_unrealised_profit",Inputs!$E$18:$E$22,"ASSOC1")</f>
        <v>-12</v>
      </c>
      <c r="E30" s="26" t="n">
        <f aca="false">-E8*SUMIFS(Inputs!$F$18:$F$22,Inputs!$B$18:$B$22,"associate_unrealised_profit",Inputs!$E$18:$E$22,"ASSOC2")</f>
        <v>-0</v>
      </c>
      <c r="F30" s="21" t="n">
        <f aca="false">SUM(D30:E30)</f>
        <v>-12</v>
      </c>
    </row>
    <row r="31" customFormat="false" ht="15" hidden="false" customHeight="false" outlineLevel="0" collapsed="false">
      <c r="B31" s="7" t="s">
        <v>194</v>
      </c>
      <c r="D31" s="28" t="n">
        <f aca="false">SUM(D26:D30)</f>
        <v>1108.563</v>
      </c>
      <c r="E31" s="28" t="n">
        <f aca="false">SUM(E26:E30)</f>
        <v>730</v>
      </c>
      <c r="F31" s="21" t="n">
        <f aca="false">SUM(D31:E31)</f>
        <v>1838.563</v>
      </c>
    </row>
    <row r="33" customFormat="false" ht="15" hidden="false" customHeight="false" outlineLevel="0" collapsed="false">
      <c r="B33" s="7" t="s">
        <v>195</v>
      </c>
    </row>
    <row r="34" customFormat="false" ht="15" hidden="false" customHeight="false" outlineLevel="0" collapsed="false">
      <c r="B34" s="5" t="s">
        <v>196</v>
      </c>
      <c r="D34" s="26" t="n">
        <f aca="false">D10+D12-D11+D13-D14</f>
        <v>11700</v>
      </c>
      <c r="E34" s="26" t="n">
        <f aca="false">E10+E12-E11+E13-E14</f>
        <v>2680</v>
      </c>
    </row>
    <row r="35" customFormat="false" ht="15" hidden="false" customHeight="false" outlineLevel="0" collapsed="false">
      <c r="B35" s="5" t="s">
        <v>197</v>
      </c>
      <c r="D35" s="26" t="n">
        <f aca="false">D8*D34*D18</f>
        <v>955.773</v>
      </c>
      <c r="E35" s="26" t="n">
        <f aca="false">E8*E34*E18</f>
        <v>670</v>
      </c>
      <c r="F35" s="21" t="n">
        <f aca="false">SUM(D35:E35)</f>
        <v>1625.773</v>
      </c>
    </row>
    <row r="36" customFormat="false" ht="15" hidden="false" customHeight="false" outlineLevel="0" collapsed="false">
      <c r="B36" s="5" t="s">
        <v>20</v>
      </c>
      <c r="D36" s="26" t="n">
        <f aca="false">D22</f>
        <v>164.79</v>
      </c>
      <c r="E36" s="26" t="n">
        <f aca="false">E22</f>
        <v>100</v>
      </c>
      <c r="F36" s="21" t="n">
        <f aca="false">SUM(D36:E36)</f>
        <v>264.79</v>
      </c>
    </row>
    <row r="37" customFormat="false" ht="15" hidden="false" customHeight="false" outlineLevel="0" collapsed="false">
      <c r="B37" s="5" t="s">
        <v>192</v>
      </c>
      <c r="D37" s="26" t="n">
        <f aca="false">D29</f>
        <v>-0</v>
      </c>
      <c r="E37" s="26" t="n">
        <f aca="false">E29</f>
        <v>-40</v>
      </c>
      <c r="F37" s="21" t="n">
        <f aca="false">SUM(D37:E37)</f>
        <v>-40</v>
      </c>
    </row>
    <row r="38" customFormat="false" ht="15" hidden="false" customHeight="false" outlineLevel="0" collapsed="false">
      <c r="B38" s="5" t="s">
        <v>198</v>
      </c>
      <c r="D38" s="26" t="n">
        <f aca="false">D30</f>
        <v>-12</v>
      </c>
      <c r="E38" s="26" t="n">
        <f aca="false">E30</f>
        <v>-0</v>
      </c>
      <c r="F38" s="21" t="n">
        <f aca="false">SUM(D38:E38)</f>
        <v>-12</v>
      </c>
    </row>
    <row r="39" customFormat="false" ht="15" hidden="false" customHeight="false" outlineLevel="0" collapsed="false">
      <c r="B39" s="5" t="s">
        <v>199</v>
      </c>
      <c r="D39" s="26" t="n">
        <f aca="false">D31-SUM(D35:D38)</f>
        <v>0</v>
      </c>
      <c r="E39" s="26" t="n">
        <f aca="false">E31-SUM(E35:E38)</f>
        <v>0</v>
      </c>
      <c r="F39" s="21" t="n">
        <f aca="false">SUM(D39:E39)</f>
        <v>0</v>
      </c>
    </row>
    <row r="40" customFormat="false" ht="15" hidden="false" customHeight="false" outlineLevel="0" collapsed="false">
      <c r="B40" s="7" t="s">
        <v>194</v>
      </c>
      <c r="D40" s="28" t="n">
        <f aca="false">SUM(D35:D39)</f>
        <v>1108.563</v>
      </c>
      <c r="E40" s="28" t="n">
        <f aca="false">SUM(E35:E39)</f>
        <v>730</v>
      </c>
      <c r="F40" s="21" t="n">
        <f aca="false">SUM(D40:E40)</f>
        <v>1838.563</v>
      </c>
    </row>
    <row r="42" customFormat="false" ht="15" hidden="false" customHeight="false" outlineLevel="0" collapsed="false">
      <c r="B42" s="5" t="s">
        <v>200</v>
      </c>
      <c r="D42" s="26" t="n">
        <f aca="false">D8*SUMIFS(Inputs!$F$18:$F$22,Inputs!$B$18:$B$22,"associate_unrealised_profit",Inputs!$D$18:$D$22,"ASSOC1")</f>
        <v>0</v>
      </c>
      <c r="E42" s="26" t="n">
        <f aca="false">E8*SUMIFS(Inputs!$F$18:$F$22,Inputs!$B$18:$B$22,"associate_unrealised_profit",Inputs!$D$18:$D$22,"ASSOC2")</f>
        <v>0</v>
      </c>
      <c r="F42" s="21" t="n">
        <f aca="false">SUM(D42:E42)</f>
        <v>0</v>
      </c>
    </row>
    <row r="44" customFormat="false" ht="54" hidden="false" customHeight="true" outlineLevel="0" collapsed="false">
      <c r="B44" s="29" t="s">
        <v>201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4" min="4" style="0" width="11"/>
    <col collapsed="false" customWidth="true" hidden="false" outlineLevel="0" max="5" min="5" style="0" width="9"/>
    <col collapsed="false" customWidth="true" hidden="false" outlineLevel="0" max="7" min="6" style="0" width="11"/>
    <col collapsed="false" customWidth="true" hidden="false" outlineLevel="0" max="8" min="8" style="0" width="9"/>
    <col collapsed="false" customWidth="true" hidden="false" outlineLevel="0" max="10" min="9" style="0" width="11"/>
    <col collapsed="false" customWidth="true" hidden="false" outlineLevel="0" max="11" min="11" style="0" width="9"/>
    <col collapsed="false" customWidth="true" hidden="false" outlineLevel="0" max="12" min="12" style="0" width="11"/>
  </cols>
  <sheetData>
    <row r="1" customFormat="false" ht="17.35" hidden="false" customHeight="false" outlineLevel="0" collapsed="false">
      <c r="B1" s="1" t="s">
        <v>0</v>
      </c>
    </row>
    <row r="2" customFormat="false" ht="15" hidden="false" customHeight="false" outlineLevel="0" collapsed="false">
      <c r="B2" s="2" t="s">
        <v>202</v>
      </c>
    </row>
    <row r="3" customFormat="false" ht="15" hidden="false" customHeight="false" outlineLevel="0" collapsed="false">
      <c r="B3" s="3" t="s">
        <v>2</v>
      </c>
    </row>
    <row r="5" customFormat="false" ht="23.85" hidden="false" customHeight="false" outlineLevel="0" collapsed="false">
      <c r="B5" s="4" t="s">
        <v>128</v>
      </c>
      <c r="C5" s="4" t="s">
        <v>129</v>
      </c>
      <c r="D5" s="19" t="s">
        <v>203</v>
      </c>
      <c r="E5" s="19" t="s">
        <v>204</v>
      </c>
      <c r="F5" s="19" t="s">
        <v>205</v>
      </c>
      <c r="G5" s="19" t="s">
        <v>206</v>
      </c>
      <c r="H5" s="19" t="s">
        <v>207</v>
      </c>
      <c r="I5" s="19" t="s">
        <v>208</v>
      </c>
      <c r="J5" s="19" t="s">
        <v>209</v>
      </c>
      <c r="K5" s="19" t="s">
        <v>210</v>
      </c>
      <c r="L5" s="19" t="s">
        <v>211</v>
      </c>
    </row>
    <row r="6" customFormat="false" ht="15" hidden="false" customHeight="false" outlineLevel="0" collapsed="false">
      <c r="B6" s="5" t="n">
        <v>1000</v>
      </c>
      <c r="C6" s="5" t="s">
        <v>27</v>
      </c>
      <c r="D6" s="20" t="n">
        <f aca="false">'Trial Balances'!E6</f>
        <v>1331.69</v>
      </c>
      <c r="E6" s="30" t="n">
        <f aca="false">Inputs!$D$12</f>
        <v>1</v>
      </c>
      <c r="F6" s="6" t="n">
        <f aca="false">D6*E6</f>
        <v>1331.69</v>
      </c>
      <c r="G6" s="20" t="n">
        <f aca="false">'Trial Balances'!F6</f>
        <v>600</v>
      </c>
      <c r="H6" s="30" t="n">
        <f aca="false">Inputs!$D$12</f>
        <v>1</v>
      </c>
      <c r="I6" s="6" t="n">
        <f aca="false">G6*H6</f>
        <v>600</v>
      </c>
      <c r="J6" s="20" t="n">
        <f aca="false">'Trial Balances'!G6</f>
        <v>400</v>
      </c>
      <c r="K6" s="30" t="n">
        <f aca="false">Inputs!$D$13</f>
        <v>1.08</v>
      </c>
      <c r="L6" s="6" t="n">
        <f aca="false">J6*K6</f>
        <v>432</v>
      </c>
    </row>
    <row r="7" customFormat="false" ht="15" hidden="false" customHeight="false" outlineLevel="0" collapsed="false">
      <c r="B7" s="5" t="n">
        <v>1100</v>
      </c>
      <c r="C7" s="5" t="s">
        <v>25</v>
      </c>
      <c r="D7" s="20" t="n">
        <f aca="false">'Trial Balances'!E7</f>
        <v>2100</v>
      </c>
      <c r="E7" s="30" t="n">
        <f aca="false">Inputs!$D$12</f>
        <v>1</v>
      </c>
      <c r="F7" s="6" t="n">
        <f aca="false">D7*E7</f>
        <v>2100</v>
      </c>
      <c r="G7" s="20" t="n">
        <f aca="false">'Trial Balances'!F7</f>
        <v>900</v>
      </c>
      <c r="H7" s="30" t="n">
        <f aca="false">Inputs!$D$12</f>
        <v>1</v>
      </c>
      <c r="I7" s="6" t="n">
        <f aca="false">G7*H7</f>
        <v>900</v>
      </c>
      <c r="J7" s="20" t="n">
        <f aca="false">'Trial Balances'!G7</f>
        <v>700</v>
      </c>
      <c r="K7" s="30" t="n">
        <f aca="false">Inputs!$D$13</f>
        <v>1.08</v>
      </c>
      <c r="L7" s="6" t="n">
        <f aca="false">J7*K7</f>
        <v>756</v>
      </c>
    </row>
    <row r="8" customFormat="false" ht="15" hidden="false" customHeight="false" outlineLevel="0" collapsed="false">
      <c r="B8" s="5" t="n">
        <v>1150</v>
      </c>
      <c r="C8" s="5" t="s">
        <v>136</v>
      </c>
      <c r="D8" s="20" t="n">
        <f aca="false">'Trial Balances'!E8</f>
        <v>540</v>
      </c>
      <c r="E8" s="30" t="n">
        <f aca="false">Inputs!$D$12</f>
        <v>1</v>
      </c>
      <c r="F8" s="6" t="n">
        <f aca="false">D8*E8</f>
        <v>540</v>
      </c>
      <c r="G8" s="20" t="n">
        <f aca="false">'Trial Balances'!F8</f>
        <v>150</v>
      </c>
      <c r="H8" s="30" t="n">
        <f aca="false">Inputs!$D$12</f>
        <v>1</v>
      </c>
      <c r="I8" s="6" t="n">
        <f aca="false">G8*H8</f>
        <v>150</v>
      </c>
      <c r="J8" s="20" t="n">
        <f aca="false">'Trial Balances'!G8</f>
        <v>0</v>
      </c>
      <c r="K8" s="30" t="n">
        <f aca="false">Inputs!$D$13</f>
        <v>1.08</v>
      </c>
      <c r="L8" s="6" t="n">
        <f aca="false">J8*K8</f>
        <v>0</v>
      </c>
    </row>
    <row r="9" customFormat="false" ht="15" hidden="false" customHeight="false" outlineLevel="0" collapsed="false">
      <c r="B9" s="5" t="n">
        <v>1200</v>
      </c>
      <c r="C9" s="5" t="s">
        <v>24</v>
      </c>
      <c r="D9" s="20" t="n">
        <f aca="false">'Trial Balances'!E9</f>
        <v>1500</v>
      </c>
      <c r="E9" s="30" t="n">
        <f aca="false">Inputs!$D$12</f>
        <v>1</v>
      </c>
      <c r="F9" s="6" t="n">
        <f aca="false">D9*E9</f>
        <v>1500</v>
      </c>
      <c r="G9" s="20" t="n">
        <f aca="false">'Trial Balances'!F9</f>
        <v>700</v>
      </c>
      <c r="H9" s="30" t="n">
        <f aca="false">Inputs!$D$12</f>
        <v>1</v>
      </c>
      <c r="I9" s="6" t="n">
        <f aca="false">G9*H9</f>
        <v>700</v>
      </c>
      <c r="J9" s="20" t="n">
        <f aca="false">'Trial Balances'!G9</f>
        <v>500</v>
      </c>
      <c r="K9" s="30" t="n">
        <f aca="false">Inputs!$D$13</f>
        <v>1.08</v>
      </c>
      <c r="L9" s="6" t="n">
        <f aca="false">J9*K9</f>
        <v>540</v>
      </c>
    </row>
    <row r="10" customFormat="false" ht="15" hidden="false" customHeight="false" outlineLevel="0" collapsed="false">
      <c r="B10" s="5" t="n">
        <v>1500</v>
      </c>
      <c r="C10" s="5" t="s">
        <v>21</v>
      </c>
      <c r="D10" s="20" t="n">
        <f aca="false">'Trial Balances'!E10</f>
        <v>6000</v>
      </c>
      <c r="E10" s="30" t="n">
        <f aca="false">Inputs!$D$12</f>
        <v>1</v>
      </c>
      <c r="F10" s="6" t="n">
        <f aca="false">D10*E10</f>
        <v>6000</v>
      </c>
      <c r="G10" s="20" t="n">
        <f aca="false">'Trial Balances'!F10</f>
        <v>2500</v>
      </c>
      <c r="H10" s="30" t="n">
        <f aca="false">Inputs!$D$12</f>
        <v>1</v>
      </c>
      <c r="I10" s="6" t="n">
        <f aca="false">G10*H10</f>
        <v>2500</v>
      </c>
      <c r="J10" s="20" t="n">
        <f aca="false">'Trial Balances'!G10</f>
        <v>1800</v>
      </c>
      <c r="K10" s="30" t="n">
        <f aca="false">Inputs!$D$13</f>
        <v>1.08</v>
      </c>
      <c r="L10" s="6" t="n">
        <f aca="false">J10*K10</f>
        <v>1944</v>
      </c>
    </row>
    <row r="11" customFormat="false" ht="15" hidden="false" customHeight="false" outlineLevel="0" collapsed="false">
      <c r="B11" s="5" t="n">
        <v>1600</v>
      </c>
      <c r="C11" s="5" t="s">
        <v>137</v>
      </c>
      <c r="D11" s="20" t="n">
        <f aca="false">'Trial Balances'!E11</f>
        <v>3580</v>
      </c>
      <c r="E11" s="30" t="n">
        <f aca="false">Inputs!$D$12</f>
        <v>1</v>
      </c>
      <c r="F11" s="6" t="n">
        <f aca="false">D11*E11</f>
        <v>3580</v>
      </c>
      <c r="G11" s="20" t="n">
        <f aca="false">'Trial Balances'!F11</f>
        <v>0</v>
      </c>
      <c r="H11" s="30" t="n">
        <f aca="false">Inputs!$D$12</f>
        <v>1</v>
      </c>
      <c r="I11" s="6" t="n">
        <f aca="false">G11*H11</f>
        <v>0</v>
      </c>
      <c r="J11" s="20" t="n">
        <f aca="false">'Trial Balances'!G11</f>
        <v>0</v>
      </c>
      <c r="K11" s="30" t="n">
        <f aca="false">Inputs!$D$13</f>
        <v>1.08</v>
      </c>
      <c r="L11" s="6" t="n">
        <f aca="false">J11*K11</f>
        <v>0</v>
      </c>
    </row>
    <row r="12" customFormat="false" ht="15" hidden="false" customHeight="false" outlineLevel="0" collapsed="false">
      <c r="B12" s="5" t="n">
        <v>1650</v>
      </c>
      <c r="C12" s="5" t="s">
        <v>138</v>
      </c>
      <c r="D12" s="20" t="n">
        <f aca="false">'Trial Balances'!E12</f>
        <v>1500</v>
      </c>
      <c r="E12" s="30" t="n">
        <f aca="false">Inputs!$D$12</f>
        <v>1</v>
      </c>
      <c r="F12" s="6" t="n">
        <f aca="false">D12*E12</f>
        <v>1500</v>
      </c>
      <c r="G12" s="20" t="n">
        <f aca="false">'Trial Balances'!F12</f>
        <v>0</v>
      </c>
      <c r="H12" s="30" t="n">
        <f aca="false">Inputs!$D$12</f>
        <v>1</v>
      </c>
      <c r="I12" s="6" t="n">
        <f aca="false">G12*H12</f>
        <v>0</v>
      </c>
      <c r="J12" s="20" t="n">
        <f aca="false">'Trial Balances'!G12</f>
        <v>0</v>
      </c>
      <c r="K12" s="30" t="n">
        <f aca="false">Inputs!$D$13</f>
        <v>1.08</v>
      </c>
      <c r="L12" s="6" t="n">
        <f aca="false">J12*K12</f>
        <v>0</v>
      </c>
    </row>
    <row r="13" customFormat="false" ht="15" hidden="false" customHeight="false" outlineLevel="0" collapsed="false">
      <c r="B13" s="5" t="n">
        <v>2000</v>
      </c>
      <c r="C13" s="5" t="s">
        <v>37</v>
      </c>
      <c r="D13" s="20" t="n">
        <f aca="false">'Trial Balances'!E13</f>
        <v>-1700</v>
      </c>
      <c r="E13" s="30" t="n">
        <f aca="false">Inputs!$D$12</f>
        <v>1</v>
      </c>
      <c r="F13" s="6" t="n">
        <f aca="false">D13*E13</f>
        <v>-1700</v>
      </c>
      <c r="G13" s="20" t="n">
        <f aca="false">'Trial Balances'!F13</f>
        <v>-650</v>
      </c>
      <c r="H13" s="30" t="n">
        <f aca="false">Inputs!$D$12</f>
        <v>1</v>
      </c>
      <c r="I13" s="6" t="n">
        <f aca="false">G13*H13</f>
        <v>-650</v>
      </c>
      <c r="J13" s="20" t="n">
        <f aca="false">'Trial Balances'!G13</f>
        <v>-450</v>
      </c>
      <c r="K13" s="30" t="n">
        <f aca="false">Inputs!$D$13</f>
        <v>1.08</v>
      </c>
      <c r="L13" s="6" t="n">
        <f aca="false">J13*K13</f>
        <v>-486</v>
      </c>
    </row>
    <row r="14" customFormat="false" ht="15" hidden="false" customHeight="false" outlineLevel="0" collapsed="false">
      <c r="B14" s="5" t="n">
        <v>2150</v>
      </c>
      <c r="C14" s="5" t="s">
        <v>139</v>
      </c>
      <c r="D14" s="20" t="n">
        <f aca="false">'Trial Balances'!E14</f>
        <v>-150</v>
      </c>
      <c r="E14" s="30" t="n">
        <f aca="false">Inputs!$D$12</f>
        <v>1</v>
      </c>
      <c r="F14" s="6" t="n">
        <f aca="false">D14*E14</f>
        <v>-150</v>
      </c>
      <c r="G14" s="20" t="n">
        <f aca="false">'Trial Balances'!F14</f>
        <v>0</v>
      </c>
      <c r="H14" s="30" t="n">
        <f aca="false">Inputs!$D$12</f>
        <v>1</v>
      </c>
      <c r="I14" s="6" t="n">
        <f aca="false">G14*H14</f>
        <v>0</v>
      </c>
      <c r="J14" s="20" t="n">
        <f aca="false">'Trial Balances'!G14</f>
        <v>-500</v>
      </c>
      <c r="K14" s="30" t="n">
        <f aca="false">Inputs!$D$13</f>
        <v>1.08</v>
      </c>
      <c r="L14" s="6" t="n">
        <f aca="false">J14*K14</f>
        <v>-540</v>
      </c>
    </row>
    <row r="15" customFormat="false" ht="15" hidden="false" customHeight="false" outlineLevel="0" collapsed="false">
      <c r="B15" s="5" t="n">
        <v>2500</v>
      </c>
      <c r="C15" s="5" t="s">
        <v>36</v>
      </c>
      <c r="D15" s="20" t="n">
        <f aca="false">'Trial Balances'!E15</f>
        <v>-5000</v>
      </c>
      <c r="E15" s="30" t="n">
        <f aca="false">Inputs!$D$12</f>
        <v>1</v>
      </c>
      <c r="F15" s="6" t="n">
        <f aca="false">D15*E15</f>
        <v>-5000</v>
      </c>
      <c r="G15" s="20" t="n">
        <f aca="false">'Trial Balances'!F15</f>
        <v>-1000</v>
      </c>
      <c r="H15" s="30" t="n">
        <f aca="false">Inputs!$D$12</f>
        <v>1</v>
      </c>
      <c r="I15" s="6" t="n">
        <f aca="false">G15*H15</f>
        <v>-1000</v>
      </c>
      <c r="J15" s="20" t="n">
        <f aca="false">'Trial Balances'!G15</f>
        <v>-600</v>
      </c>
      <c r="K15" s="30" t="n">
        <f aca="false">Inputs!$D$13</f>
        <v>1.08</v>
      </c>
      <c r="L15" s="6" t="n">
        <f aca="false">J15*K15</f>
        <v>-648</v>
      </c>
    </row>
    <row r="16" customFormat="false" ht="15" hidden="false" customHeight="false" outlineLevel="0" collapsed="false">
      <c r="B16" s="5" t="n">
        <v>3000</v>
      </c>
      <c r="C16" s="5" t="s">
        <v>30</v>
      </c>
      <c r="D16" s="20" t="n">
        <f aca="false">'Trial Balances'!E16</f>
        <v>-5000</v>
      </c>
      <c r="E16" s="30" t="n">
        <f aca="false">Inputs!$F$12</f>
        <v>1</v>
      </c>
      <c r="F16" s="6" t="n">
        <f aca="false">D16*E16</f>
        <v>-5000</v>
      </c>
      <c r="G16" s="20" t="n">
        <f aca="false">'Trial Balances'!F16</f>
        <v>-1000</v>
      </c>
      <c r="H16" s="30" t="n">
        <f aca="false">Inputs!$F$12</f>
        <v>1</v>
      </c>
      <c r="I16" s="6" t="n">
        <f aca="false">G16*H16</f>
        <v>-1000</v>
      </c>
      <c r="J16" s="20" t="n">
        <f aca="false">'Trial Balances'!G16</f>
        <v>-1000</v>
      </c>
      <c r="K16" s="30" t="n">
        <f aca="false">Inputs!$F$13</f>
        <v>1.1</v>
      </c>
      <c r="L16" s="6" t="n">
        <f aca="false">J16*K16</f>
        <v>-1100</v>
      </c>
    </row>
    <row r="17" customFormat="false" ht="15" hidden="false" customHeight="false" outlineLevel="0" collapsed="false">
      <c r="B17" s="5" t="n">
        <v>3100</v>
      </c>
      <c r="C17" s="5" t="s">
        <v>140</v>
      </c>
      <c r="D17" s="20" t="n">
        <f aca="false">'Trial Balances'!E17</f>
        <v>-2800</v>
      </c>
      <c r="E17" s="30" t="n">
        <f aca="false">Inputs!$F$12</f>
        <v>1</v>
      </c>
      <c r="F17" s="6" t="n">
        <f aca="false">D17*E17</f>
        <v>-2800</v>
      </c>
      <c r="G17" s="20" t="n">
        <f aca="false">'Trial Balances'!F17</f>
        <v>-1460</v>
      </c>
      <c r="H17" s="30" t="n">
        <f aca="false">Inputs!$F$12</f>
        <v>1</v>
      </c>
      <c r="I17" s="6" t="n">
        <f aca="false">G17*H17</f>
        <v>-1460</v>
      </c>
      <c r="J17" s="20" t="n">
        <f aca="false">'Trial Balances'!G17</f>
        <v>-420</v>
      </c>
      <c r="K17" s="30" t="n">
        <f aca="false">IF(J17=0,0,L17/J17)</f>
        <v>1.0952380952381</v>
      </c>
      <c r="L17" s="6" t="n">
        <f aca="false">-Inputs!$H$8</f>
        <v>-460</v>
      </c>
    </row>
    <row r="18" customFormat="false" ht="15" hidden="false" customHeight="false" outlineLevel="0" collapsed="false">
      <c r="B18" s="5" t="n">
        <v>4000</v>
      </c>
      <c r="C18" s="5" t="s">
        <v>4</v>
      </c>
      <c r="D18" s="20" t="n">
        <f aca="false">'Trial Balances'!E18</f>
        <v>-14000</v>
      </c>
      <c r="E18" s="30" t="n">
        <f aca="false">Inputs!$E$12</f>
        <v>1</v>
      </c>
      <c r="F18" s="6" t="n">
        <f aca="false">D18*E18</f>
        <v>-14000</v>
      </c>
      <c r="G18" s="20" t="n">
        <f aca="false">'Trial Balances'!F18</f>
        <v>-4200</v>
      </c>
      <c r="H18" s="30" t="n">
        <f aca="false">Inputs!$E$12</f>
        <v>1</v>
      </c>
      <c r="I18" s="6" t="n">
        <f aca="false">G18*H18</f>
        <v>-4200</v>
      </c>
      <c r="J18" s="20" t="n">
        <f aca="false">'Trial Balances'!G18</f>
        <v>-3600</v>
      </c>
      <c r="K18" s="30" t="n">
        <f aca="false">Inputs!$E$13</f>
        <v>1.09</v>
      </c>
      <c r="L18" s="6" t="n">
        <f aca="false">J18*K18</f>
        <v>-3924</v>
      </c>
    </row>
    <row r="19" customFormat="false" ht="15" hidden="false" customHeight="false" outlineLevel="0" collapsed="false">
      <c r="B19" s="5" t="n">
        <v>4050</v>
      </c>
      <c r="C19" s="5" t="s">
        <v>141</v>
      </c>
      <c r="D19" s="20" t="n">
        <f aca="false">'Trial Balances'!E19</f>
        <v>0</v>
      </c>
      <c r="E19" s="30" t="n">
        <f aca="false">Inputs!$E$12</f>
        <v>1</v>
      </c>
      <c r="F19" s="6" t="n">
        <f aca="false">D19*E19</f>
        <v>0</v>
      </c>
      <c r="G19" s="20" t="n">
        <f aca="false">'Trial Balances'!F19</f>
        <v>-800</v>
      </c>
      <c r="H19" s="30" t="n">
        <f aca="false">Inputs!$E$12</f>
        <v>1</v>
      </c>
      <c r="I19" s="6" t="n">
        <f aca="false">G19*H19</f>
        <v>-800</v>
      </c>
      <c r="J19" s="20" t="n">
        <f aca="false">'Trial Balances'!G19</f>
        <v>0</v>
      </c>
      <c r="K19" s="30" t="n">
        <f aca="false">Inputs!$E$13</f>
        <v>1.09</v>
      </c>
      <c r="L19" s="6" t="n">
        <f aca="false">J19*K19</f>
        <v>0</v>
      </c>
    </row>
    <row r="20" customFormat="false" ht="15" hidden="false" customHeight="false" outlineLevel="0" collapsed="false">
      <c r="B20" s="5" t="n">
        <v>4100</v>
      </c>
      <c r="C20" s="5" t="s">
        <v>142</v>
      </c>
      <c r="D20" s="20" t="n">
        <f aca="false">'Trial Balances'!E20</f>
        <v>-131.69</v>
      </c>
      <c r="E20" s="30" t="n">
        <f aca="false">Inputs!$E$12</f>
        <v>1</v>
      </c>
      <c r="F20" s="6" t="n">
        <f aca="false">D20*E20</f>
        <v>-131.69</v>
      </c>
      <c r="G20" s="20" t="n">
        <f aca="false">'Trial Balances'!F20</f>
        <v>0</v>
      </c>
      <c r="H20" s="30" t="n">
        <f aca="false">Inputs!$E$12</f>
        <v>1</v>
      </c>
      <c r="I20" s="6" t="n">
        <f aca="false">G20*H20</f>
        <v>0</v>
      </c>
      <c r="J20" s="20" t="n">
        <f aca="false">'Trial Balances'!G20</f>
        <v>0</v>
      </c>
      <c r="K20" s="30" t="n">
        <f aca="false">Inputs!$E$13</f>
        <v>1.09</v>
      </c>
      <c r="L20" s="6" t="n">
        <f aca="false">J20*K20</f>
        <v>0</v>
      </c>
    </row>
    <row r="21" customFormat="false" ht="15" hidden="false" customHeight="false" outlineLevel="0" collapsed="false">
      <c r="B21" s="5" t="n">
        <v>5000</v>
      </c>
      <c r="C21" s="5" t="s">
        <v>5</v>
      </c>
      <c r="D21" s="20" t="n">
        <f aca="false">'Trial Balances'!E21</f>
        <v>7600</v>
      </c>
      <c r="E21" s="30" t="n">
        <f aca="false">Inputs!$E$12</f>
        <v>1</v>
      </c>
      <c r="F21" s="6" t="n">
        <f aca="false">D21*E21</f>
        <v>7600</v>
      </c>
      <c r="G21" s="20" t="n">
        <f aca="false">'Trial Balances'!F21</f>
        <v>3000</v>
      </c>
      <c r="H21" s="30" t="n">
        <f aca="false">Inputs!$E$12</f>
        <v>1</v>
      </c>
      <c r="I21" s="6" t="n">
        <f aca="false">G21*H21</f>
        <v>3000</v>
      </c>
      <c r="J21" s="20" t="n">
        <f aca="false">'Trial Balances'!G21</f>
        <v>2200</v>
      </c>
      <c r="K21" s="30" t="n">
        <f aca="false">Inputs!$E$13</f>
        <v>1.09</v>
      </c>
      <c r="L21" s="6" t="n">
        <f aca="false">J21*K21</f>
        <v>2398</v>
      </c>
    </row>
    <row r="22" customFormat="false" ht="15" hidden="false" customHeight="false" outlineLevel="0" collapsed="false">
      <c r="B22" s="5" t="n">
        <v>5050</v>
      </c>
      <c r="C22" s="5" t="s">
        <v>144</v>
      </c>
      <c r="D22" s="20" t="n">
        <f aca="false">'Trial Balances'!E22</f>
        <v>800</v>
      </c>
      <c r="E22" s="30" t="n">
        <f aca="false">Inputs!$E$12</f>
        <v>1</v>
      </c>
      <c r="F22" s="6" t="n">
        <f aca="false">D22*E22</f>
        <v>800</v>
      </c>
      <c r="G22" s="20" t="n">
        <f aca="false">'Trial Balances'!F22</f>
        <v>0</v>
      </c>
      <c r="H22" s="30" t="n">
        <f aca="false">Inputs!$E$12</f>
        <v>1</v>
      </c>
      <c r="I22" s="6" t="n">
        <f aca="false">G22*H22</f>
        <v>0</v>
      </c>
      <c r="J22" s="20" t="n">
        <f aca="false">'Trial Balances'!G22</f>
        <v>0</v>
      </c>
      <c r="K22" s="30" t="n">
        <f aca="false">Inputs!$E$13</f>
        <v>1.09</v>
      </c>
      <c r="L22" s="6" t="n">
        <f aca="false">J22*K22</f>
        <v>0</v>
      </c>
    </row>
    <row r="23" customFormat="false" ht="15" hidden="false" customHeight="false" outlineLevel="0" collapsed="false">
      <c r="B23" s="5" t="n">
        <v>6000</v>
      </c>
      <c r="C23" s="5" t="s">
        <v>7</v>
      </c>
      <c r="D23" s="20" t="n">
        <f aca="false">'Trial Balances'!E23</f>
        <v>3100</v>
      </c>
      <c r="E23" s="30" t="n">
        <f aca="false">Inputs!$E$12</f>
        <v>1</v>
      </c>
      <c r="F23" s="6" t="n">
        <f aca="false">D23*E23</f>
        <v>3100</v>
      </c>
      <c r="G23" s="20" t="n">
        <f aca="false">'Trial Balances'!F23</f>
        <v>950</v>
      </c>
      <c r="H23" s="30" t="n">
        <f aca="false">Inputs!$E$12</f>
        <v>1</v>
      </c>
      <c r="I23" s="6" t="n">
        <f aca="false">G23*H23</f>
        <v>950</v>
      </c>
      <c r="J23" s="20" t="n">
        <f aca="false">'Trial Balances'!G23</f>
        <v>800</v>
      </c>
      <c r="K23" s="30" t="n">
        <f aca="false">Inputs!$E$13</f>
        <v>1.09</v>
      </c>
      <c r="L23" s="6" t="n">
        <f aca="false">J23*K23</f>
        <v>872</v>
      </c>
    </row>
    <row r="24" customFormat="false" ht="15" hidden="false" customHeight="false" outlineLevel="0" collapsed="false">
      <c r="B24" s="5" t="n">
        <v>7000</v>
      </c>
      <c r="C24" s="5" t="s">
        <v>11</v>
      </c>
      <c r="D24" s="20" t="n">
        <f aca="false">'Trial Balances'!E24</f>
        <v>280</v>
      </c>
      <c r="E24" s="30" t="n">
        <f aca="false">Inputs!$E$12</f>
        <v>1</v>
      </c>
      <c r="F24" s="6" t="n">
        <f aca="false">D24*E24</f>
        <v>280</v>
      </c>
      <c r="G24" s="20" t="n">
        <f aca="false">'Trial Balances'!F24</f>
        <v>60</v>
      </c>
      <c r="H24" s="30" t="n">
        <f aca="false">Inputs!$E$12</f>
        <v>1</v>
      </c>
      <c r="I24" s="6" t="n">
        <f aca="false">G24*H24</f>
        <v>60</v>
      </c>
      <c r="J24" s="20" t="n">
        <f aca="false">'Trial Balances'!G24</f>
        <v>30</v>
      </c>
      <c r="K24" s="30" t="n">
        <f aca="false">Inputs!$E$13</f>
        <v>1.09</v>
      </c>
      <c r="L24" s="6" t="n">
        <f aca="false">J24*K24</f>
        <v>32.7</v>
      </c>
    </row>
    <row r="25" customFormat="false" ht="15" hidden="false" customHeight="false" outlineLevel="0" collapsed="false">
      <c r="B25" s="5" t="n">
        <v>8000</v>
      </c>
      <c r="C25" s="5" t="s">
        <v>13</v>
      </c>
      <c r="D25" s="20" t="n">
        <f aca="false">'Trial Balances'!E25</f>
        <v>450</v>
      </c>
      <c r="E25" s="30" t="n">
        <f aca="false">Inputs!$E$12</f>
        <v>1</v>
      </c>
      <c r="F25" s="6" t="n">
        <f aca="false">D25*E25</f>
        <v>450</v>
      </c>
      <c r="G25" s="20" t="n">
        <f aca="false">'Trial Balances'!F25</f>
        <v>250</v>
      </c>
      <c r="H25" s="30" t="n">
        <f aca="false">Inputs!$E$12</f>
        <v>1</v>
      </c>
      <c r="I25" s="6" t="n">
        <f aca="false">G25*H25</f>
        <v>250</v>
      </c>
      <c r="J25" s="20" t="n">
        <f aca="false">'Trial Balances'!G25</f>
        <v>140</v>
      </c>
      <c r="K25" s="30" t="n">
        <f aca="false">Inputs!$E$13</f>
        <v>1.09</v>
      </c>
      <c r="L25" s="6" t="n">
        <f aca="false">J25*K25</f>
        <v>152.6</v>
      </c>
    </row>
    <row r="26" customFormat="false" ht="15" hidden="false" customHeight="false" outlineLevel="0" collapsed="false">
      <c r="B26" s="5" t="n">
        <v>3200</v>
      </c>
      <c r="C26" s="5" t="s">
        <v>32</v>
      </c>
      <c r="F26" s="8" t="n">
        <f aca="false">-SUM(F6:F25)</f>
        <v>-0</v>
      </c>
      <c r="I26" s="8" t="n">
        <f aca="false">-SUM(I6:I25)</f>
        <v>-0</v>
      </c>
      <c r="L26" s="8" t="n">
        <f aca="false">-SUM(L6:L25)</f>
        <v>30.7000000000002</v>
      </c>
    </row>
    <row r="28" customFormat="false" ht="15" hidden="false" customHeight="false" outlineLevel="0" collapsed="false">
      <c r="B28" s="3" t="s">
        <v>212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30"/>
    <col collapsed="false" customWidth="true" hidden="false" outlineLevel="0" max="4" min="4" style="0" width="6"/>
    <col collapsed="false" customWidth="true" hidden="false" outlineLevel="0" max="7" min="5" style="0" width="13"/>
  </cols>
  <sheetData>
    <row r="1" customFormat="false" ht="17.35" hidden="false" customHeight="false" outlineLevel="0" collapsed="false">
      <c r="B1" s="1" t="s">
        <v>0</v>
      </c>
    </row>
    <row r="2" customFormat="false" ht="15" hidden="false" customHeight="false" outlineLevel="0" collapsed="false">
      <c r="B2" s="2" t="s">
        <v>213</v>
      </c>
    </row>
    <row r="3" customFormat="false" ht="15" hidden="false" customHeight="false" outlineLevel="0" collapsed="false">
      <c r="B3" s="3" t="s">
        <v>214</v>
      </c>
    </row>
    <row r="5" customFormat="false" ht="23.85" hidden="false" customHeight="false" outlineLevel="0" collapsed="false">
      <c r="B5" s="4" t="s">
        <v>128</v>
      </c>
      <c r="C5" s="4" t="s">
        <v>129</v>
      </c>
      <c r="D5" s="19" t="s">
        <v>215</v>
      </c>
      <c r="E5" s="19" t="s">
        <v>130</v>
      </c>
      <c r="F5" s="19" t="s">
        <v>131</v>
      </c>
      <c r="G5" s="19" t="s">
        <v>216</v>
      </c>
    </row>
    <row r="6" customFormat="false" ht="15" hidden="false" customHeight="false" outlineLevel="0" collapsed="false">
      <c r="B6" s="5" t="n">
        <v>1000</v>
      </c>
      <c r="C6" s="5" t="s">
        <v>27</v>
      </c>
      <c r="D6" s="5" t="s">
        <v>217</v>
      </c>
      <c r="E6" s="31" t="n">
        <v>1331.69</v>
      </c>
      <c r="F6" s="31" t="n">
        <v>600</v>
      </c>
      <c r="G6" s="31" t="n">
        <v>400</v>
      </c>
    </row>
    <row r="7" customFormat="false" ht="15" hidden="false" customHeight="false" outlineLevel="0" collapsed="false">
      <c r="B7" s="5" t="n">
        <v>1100</v>
      </c>
      <c r="C7" s="5" t="s">
        <v>25</v>
      </c>
      <c r="D7" s="5" t="s">
        <v>217</v>
      </c>
      <c r="E7" s="31" t="n">
        <v>2100</v>
      </c>
      <c r="F7" s="31" t="n">
        <v>900</v>
      </c>
      <c r="G7" s="31" t="n">
        <v>700</v>
      </c>
    </row>
    <row r="8" customFormat="false" ht="15" hidden="false" customHeight="false" outlineLevel="0" collapsed="false">
      <c r="B8" s="5" t="n">
        <v>1150</v>
      </c>
      <c r="C8" s="5" t="s">
        <v>136</v>
      </c>
      <c r="D8" s="5" t="s">
        <v>217</v>
      </c>
      <c r="E8" s="31" t="n">
        <v>540</v>
      </c>
      <c r="F8" s="31" t="n">
        <v>150</v>
      </c>
      <c r="G8" s="31" t="n">
        <v>0</v>
      </c>
    </row>
    <row r="9" customFormat="false" ht="15" hidden="false" customHeight="false" outlineLevel="0" collapsed="false">
      <c r="B9" s="5" t="n">
        <v>1200</v>
      </c>
      <c r="C9" s="5" t="s">
        <v>24</v>
      </c>
      <c r="D9" s="5" t="s">
        <v>217</v>
      </c>
      <c r="E9" s="31" t="n">
        <v>1500</v>
      </c>
      <c r="F9" s="31" t="n">
        <v>700</v>
      </c>
      <c r="G9" s="31" t="n">
        <v>500</v>
      </c>
    </row>
    <row r="10" customFormat="false" ht="15" hidden="false" customHeight="false" outlineLevel="0" collapsed="false">
      <c r="B10" s="5" t="n">
        <v>1500</v>
      </c>
      <c r="C10" s="5" t="s">
        <v>21</v>
      </c>
      <c r="D10" s="5" t="s">
        <v>217</v>
      </c>
      <c r="E10" s="31" t="n">
        <v>6000</v>
      </c>
      <c r="F10" s="31" t="n">
        <v>2500</v>
      </c>
      <c r="G10" s="31" t="n">
        <v>1800</v>
      </c>
    </row>
    <row r="11" customFormat="false" ht="15" hidden="false" customHeight="false" outlineLevel="0" collapsed="false">
      <c r="B11" s="5" t="n">
        <v>1600</v>
      </c>
      <c r="C11" s="5" t="s">
        <v>137</v>
      </c>
      <c r="D11" s="5" t="s">
        <v>217</v>
      </c>
      <c r="E11" s="31" t="n">
        <v>3580</v>
      </c>
      <c r="F11" s="31" t="n">
        <v>0</v>
      </c>
      <c r="G11" s="31" t="n">
        <v>0</v>
      </c>
    </row>
    <row r="12" customFormat="false" ht="15" hidden="false" customHeight="false" outlineLevel="0" collapsed="false">
      <c r="B12" s="5" t="n">
        <v>1650</v>
      </c>
      <c r="C12" s="5" t="s">
        <v>138</v>
      </c>
      <c r="D12" s="5" t="s">
        <v>217</v>
      </c>
      <c r="E12" s="31" t="n">
        <v>1500</v>
      </c>
      <c r="F12" s="31" t="n">
        <v>0</v>
      </c>
      <c r="G12" s="31" t="n">
        <v>0</v>
      </c>
    </row>
    <row r="13" customFormat="false" ht="15" hidden="false" customHeight="false" outlineLevel="0" collapsed="false">
      <c r="B13" s="5" t="n">
        <v>2000</v>
      </c>
      <c r="C13" s="5" t="s">
        <v>37</v>
      </c>
      <c r="D13" s="5" t="s">
        <v>218</v>
      </c>
      <c r="E13" s="31" t="n">
        <v>-1700</v>
      </c>
      <c r="F13" s="31" t="n">
        <v>-650</v>
      </c>
      <c r="G13" s="31" t="n">
        <v>-450</v>
      </c>
    </row>
    <row r="14" customFormat="false" ht="15" hidden="false" customHeight="false" outlineLevel="0" collapsed="false">
      <c r="B14" s="5" t="n">
        <v>2150</v>
      </c>
      <c r="C14" s="5" t="s">
        <v>139</v>
      </c>
      <c r="D14" s="5" t="s">
        <v>218</v>
      </c>
      <c r="E14" s="31" t="n">
        <v>-150</v>
      </c>
      <c r="F14" s="31" t="n">
        <v>0</v>
      </c>
      <c r="G14" s="31" t="n">
        <v>-500</v>
      </c>
    </row>
    <row r="15" customFormat="false" ht="15" hidden="false" customHeight="false" outlineLevel="0" collapsed="false">
      <c r="B15" s="5" t="n">
        <v>2500</v>
      </c>
      <c r="C15" s="5" t="s">
        <v>36</v>
      </c>
      <c r="D15" s="5" t="s">
        <v>218</v>
      </c>
      <c r="E15" s="31" t="n">
        <v>-5000</v>
      </c>
      <c r="F15" s="31" t="n">
        <v>-1000</v>
      </c>
      <c r="G15" s="31" t="n">
        <v>-600</v>
      </c>
    </row>
    <row r="16" customFormat="false" ht="15" hidden="false" customHeight="false" outlineLevel="0" collapsed="false">
      <c r="B16" s="5" t="n">
        <v>3000</v>
      </c>
      <c r="C16" s="5" t="s">
        <v>30</v>
      </c>
      <c r="D16" s="5" t="s">
        <v>219</v>
      </c>
      <c r="E16" s="31" t="n">
        <v>-5000</v>
      </c>
      <c r="F16" s="31" t="n">
        <v>-1000</v>
      </c>
      <c r="G16" s="31" t="n">
        <v>-1000</v>
      </c>
    </row>
    <row r="17" customFormat="false" ht="15" hidden="false" customHeight="false" outlineLevel="0" collapsed="false">
      <c r="B17" s="5" t="n">
        <v>3100</v>
      </c>
      <c r="C17" s="5" t="s">
        <v>140</v>
      </c>
      <c r="D17" s="5" t="s">
        <v>219</v>
      </c>
      <c r="E17" s="31" t="n">
        <v>-2800</v>
      </c>
      <c r="F17" s="31" t="n">
        <v>-1460</v>
      </c>
      <c r="G17" s="31" t="n">
        <v>-420</v>
      </c>
    </row>
    <row r="18" customFormat="false" ht="15" hidden="false" customHeight="false" outlineLevel="0" collapsed="false">
      <c r="B18" s="5" t="n">
        <v>4000</v>
      </c>
      <c r="C18" s="5" t="s">
        <v>4</v>
      </c>
      <c r="D18" s="5" t="s">
        <v>220</v>
      </c>
      <c r="E18" s="31" t="n">
        <v>-14000</v>
      </c>
      <c r="F18" s="31" t="n">
        <v>-4200</v>
      </c>
      <c r="G18" s="31" t="n">
        <v>-3600</v>
      </c>
    </row>
    <row r="19" customFormat="false" ht="15" hidden="false" customHeight="false" outlineLevel="0" collapsed="false">
      <c r="B19" s="5" t="n">
        <v>4050</v>
      </c>
      <c r="C19" s="5" t="s">
        <v>141</v>
      </c>
      <c r="D19" s="5" t="s">
        <v>220</v>
      </c>
      <c r="E19" s="31" t="n">
        <v>0</v>
      </c>
      <c r="F19" s="31" t="n">
        <v>-800</v>
      </c>
      <c r="G19" s="31" t="n">
        <v>0</v>
      </c>
    </row>
    <row r="20" customFormat="false" ht="15" hidden="false" customHeight="false" outlineLevel="0" collapsed="false">
      <c r="B20" s="5" t="n">
        <v>4100</v>
      </c>
      <c r="C20" s="5" t="s">
        <v>142</v>
      </c>
      <c r="D20" s="5" t="s">
        <v>220</v>
      </c>
      <c r="E20" s="31" t="n">
        <v>-131.69</v>
      </c>
      <c r="F20" s="31" t="n">
        <v>0</v>
      </c>
      <c r="G20" s="31" t="n">
        <v>0</v>
      </c>
    </row>
    <row r="21" customFormat="false" ht="15" hidden="false" customHeight="false" outlineLevel="0" collapsed="false">
      <c r="B21" s="5" t="n">
        <v>5000</v>
      </c>
      <c r="C21" s="5" t="s">
        <v>5</v>
      </c>
      <c r="D21" s="5" t="s">
        <v>221</v>
      </c>
      <c r="E21" s="31" t="n">
        <v>7600</v>
      </c>
      <c r="F21" s="31" t="n">
        <v>3000</v>
      </c>
      <c r="G21" s="31" t="n">
        <v>2200</v>
      </c>
    </row>
    <row r="22" customFormat="false" ht="15" hidden="false" customHeight="false" outlineLevel="0" collapsed="false">
      <c r="B22" s="5" t="n">
        <v>5050</v>
      </c>
      <c r="C22" s="5" t="s">
        <v>144</v>
      </c>
      <c r="D22" s="5" t="s">
        <v>221</v>
      </c>
      <c r="E22" s="31" t="n">
        <v>800</v>
      </c>
      <c r="F22" s="31" t="n">
        <v>0</v>
      </c>
      <c r="G22" s="31" t="n">
        <v>0</v>
      </c>
    </row>
    <row r="23" customFormat="false" ht="15" hidden="false" customHeight="false" outlineLevel="0" collapsed="false">
      <c r="B23" s="5" t="n">
        <v>6000</v>
      </c>
      <c r="C23" s="5" t="s">
        <v>7</v>
      </c>
      <c r="D23" s="5" t="s">
        <v>221</v>
      </c>
      <c r="E23" s="31" t="n">
        <v>3100</v>
      </c>
      <c r="F23" s="31" t="n">
        <v>950</v>
      </c>
      <c r="G23" s="31" t="n">
        <v>800</v>
      </c>
    </row>
    <row r="24" customFormat="false" ht="15" hidden="false" customHeight="false" outlineLevel="0" collapsed="false">
      <c r="B24" s="5" t="n">
        <v>7000</v>
      </c>
      <c r="C24" s="5" t="s">
        <v>11</v>
      </c>
      <c r="D24" s="5" t="s">
        <v>221</v>
      </c>
      <c r="E24" s="31" t="n">
        <v>280</v>
      </c>
      <c r="F24" s="31" t="n">
        <v>60</v>
      </c>
      <c r="G24" s="31" t="n">
        <v>30</v>
      </c>
    </row>
    <row r="25" customFormat="false" ht="15" hidden="false" customHeight="false" outlineLevel="0" collapsed="false">
      <c r="B25" s="5" t="n">
        <v>8000</v>
      </c>
      <c r="C25" s="5" t="s">
        <v>13</v>
      </c>
      <c r="D25" s="5" t="s">
        <v>221</v>
      </c>
      <c r="E25" s="31" t="n">
        <v>450</v>
      </c>
      <c r="F25" s="31" t="n">
        <v>250</v>
      </c>
      <c r="G25" s="31" t="n">
        <v>140</v>
      </c>
    </row>
    <row r="26" customFormat="false" ht="15" hidden="false" customHeight="false" outlineLevel="0" collapsed="false">
      <c r="C26" s="7" t="s">
        <v>145</v>
      </c>
      <c r="E26" s="8" t="n">
        <f aca="false">SUM(E6:E25)</f>
        <v>0</v>
      </c>
      <c r="F26" s="8" t="n">
        <f aca="false">SUM(F6:F25)</f>
        <v>0</v>
      </c>
      <c r="G26" s="8" t="n">
        <f aca="false">SUM(G6:G25)</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46"/>
    <col collapsed="false" customWidth="true" hidden="false" outlineLevel="0" max="4" min="4" style="0" width="10"/>
    <col collapsed="false" customWidth="true" hidden="false" outlineLevel="0" max="5" min="5" style="0" width="11"/>
    <col collapsed="false" customWidth="true" hidden="false" outlineLevel="0" max="6" min="6" style="0" width="12"/>
    <col collapsed="false" customWidth="true" hidden="false" outlineLevel="0" max="7" min="7" style="0" width="14"/>
    <col collapsed="false" customWidth="true" hidden="false" outlineLevel="0" max="8" min="8" style="0" width="12"/>
  </cols>
  <sheetData>
    <row r="1" customFormat="false" ht="17.35" hidden="false" customHeight="false" outlineLevel="0" collapsed="false">
      <c r="B1" s="1" t="s">
        <v>0</v>
      </c>
    </row>
    <row r="2" customFormat="false" ht="15" hidden="false" customHeight="false" outlineLevel="0" collapsed="false">
      <c r="B2" s="2" t="s">
        <v>222</v>
      </c>
    </row>
    <row r="3" customFormat="false" ht="15" hidden="false" customHeight="false" outlineLevel="0" collapsed="false">
      <c r="B3" s="3" t="s">
        <v>2</v>
      </c>
    </row>
    <row r="5" customFormat="false" ht="35.05" hidden="false" customHeight="false" outlineLevel="0" collapsed="false">
      <c r="B5" s="4" t="s">
        <v>44</v>
      </c>
      <c r="C5" s="4" t="s">
        <v>170</v>
      </c>
      <c r="D5" s="19" t="s">
        <v>171</v>
      </c>
      <c r="E5" s="19" t="s">
        <v>46</v>
      </c>
      <c r="F5" s="19" t="s">
        <v>223</v>
      </c>
      <c r="G5" s="19" t="s">
        <v>224</v>
      </c>
      <c r="H5" s="19" t="s">
        <v>225</v>
      </c>
    </row>
    <row r="6" customFormat="false" ht="15" hidden="false" customHeight="false" outlineLevel="0" collapsed="false">
      <c r="B6" s="6" t="s">
        <v>226</v>
      </c>
      <c r="C6" s="6" t="s">
        <v>50</v>
      </c>
      <c r="D6" s="6" t="s">
        <v>173</v>
      </c>
      <c r="E6" s="32" t="n">
        <v>1</v>
      </c>
      <c r="F6" s="31" t="n">
        <v>0</v>
      </c>
      <c r="G6" s="31" t="n">
        <v>0</v>
      </c>
      <c r="H6" s="31"/>
    </row>
    <row r="7" customFormat="false" ht="15" hidden="false" customHeight="false" outlineLevel="0" collapsed="false">
      <c r="B7" s="6" t="s">
        <v>227</v>
      </c>
      <c r="C7" s="6" t="s">
        <v>55</v>
      </c>
      <c r="D7" s="6" t="s">
        <v>173</v>
      </c>
      <c r="E7" s="32" t="n">
        <v>1</v>
      </c>
      <c r="F7" s="31" t="n">
        <v>2700</v>
      </c>
      <c r="G7" s="31" t="n">
        <v>1200</v>
      </c>
      <c r="H7" s="31"/>
    </row>
    <row r="8" customFormat="false" ht="15" hidden="false" customHeight="false" outlineLevel="0" collapsed="false">
      <c r="B8" s="6" t="s">
        <v>228</v>
      </c>
      <c r="C8" s="6" t="s">
        <v>60</v>
      </c>
      <c r="D8" s="6" t="s">
        <v>229</v>
      </c>
      <c r="E8" s="32" t="n">
        <v>0.8</v>
      </c>
      <c r="F8" s="31" t="n">
        <v>880</v>
      </c>
      <c r="G8" s="31" t="n">
        <v>0</v>
      </c>
      <c r="H8" s="31" t="n">
        <v>460</v>
      </c>
    </row>
    <row r="11" customFormat="false" ht="15" hidden="false" customHeight="false" outlineLevel="0" collapsed="false">
      <c r="B11" s="4" t="s">
        <v>171</v>
      </c>
      <c r="C11" s="4"/>
      <c r="D11" s="19" t="s">
        <v>230</v>
      </c>
      <c r="E11" s="19" t="s">
        <v>231</v>
      </c>
      <c r="F11" s="19" t="s">
        <v>232</v>
      </c>
    </row>
    <row r="12" customFormat="false" ht="15" hidden="false" customHeight="false" outlineLevel="0" collapsed="false">
      <c r="B12" s="5" t="s">
        <v>173</v>
      </c>
      <c r="D12" s="33" t="n">
        <v>1</v>
      </c>
      <c r="E12" s="33" t="n">
        <v>1</v>
      </c>
      <c r="F12" s="33" t="n">
        <v>1</v>
      </c>
    </row>
    <row r="13" customFormat="false" ht="15" hidden="false" customHeight="false" outlineLevel="0" collapsed="false">
      <c r="B13" s="5" t="s">
        <v>229</v>
      </c>
      <c r="D13" s="33" t="n">
        <v>1.08</v>
      </c>
      <c r="E13" s="33" t="n">
        <v>1.09</v>
      </c>
      <c r="F13" s="33" t="n">
        <v>1.1</v>
      </c>
    </row>
    <row r="14" customFormat="false" ht="15" hidden="false" customHeight="false" outlineLevel="0" collapsed="false">
      <c r="B14" s="5" t="s">
        <v>172</v>
      </c>
      <c r="D14" s="33" t="n">
        <v>0.2723</v>
      </c>
      <c r="E14" s="33" t="n">
        <v>0.2723</v>
      </c>
      <c r="F14" s="33" t="n">
        <v>0.2723</v>
      </c>
    </row>
    <row r="17" customFormat="false" ht="23.85" hidden="false" customHeight="false" outlineLevel="0" collapsed="false">
      <c r="B17" s="4" t="s">
        <v>215</v>
      </c>
      <c r="C17" s="4" t="s">
        <v>148</v>
      </c>
      <c r="D17" s="19" t="s">
        <v>233</v>
      </c>
      <c r="E17" s="19" t="s">
        <v>234</v>
      </c>
      <c r="F17" s="19" t="s">
        <v>235</v>
      </c>
    </row>
    <row r="18" customFormat="false" ht="15" hidden="false" customHeight="false" outlineLevel="0" collapsed="false">
      <c r="B18" s="5" t="s">
        <v>236</v>
      </c>
      <c r="C18" s="5" t="s">
        <v>237</v>
      </c>
      <c r="D18" s="5" t="s">
        <v>227</v>
      </c>
      <c r="E18" s="5" t="s">
        <v>226</v>
      </c>
      <c r="F18" s="31" t="n">
        <v>150</v>
      </c>
    </row>
    <row r="19" customFormat="false" ht="15" hidden="false" customHeight="false" outlineLevel="0" collapsed="false">
      <c r="B19" s="5" t="s">
        <v>236</v>
      </c>
      <c r="C19" s="5" t="s">
        <v>238</v>
      </c>
      <c r="D19" s="5" t="s">
        <v>226</v>
      </c>
      <c r="E19" s="5" t="s">
        <v>228</v>
      </c>
      <c r="F19" s="31" t="n">
        <v>540</v>
      </c>
    </row>
    <row r="20" customFormat="false" ht="15" hidden="false" customHeight="false" outlineLevel="0" collapsed="false">
      <c r="B20" s="5" t="s">
        <v>239</v>
      </c>
      <c r="C20" s="5" t="s">
        <v>240</v>
      </c>
      <c r="D20" s="5" t="s">
        <v>227</v>
      </c>
      <c r="E20" s="5" t="s">
        <v>226</v>
      </c>
      <c r="F20" s="31" t="n">
        <v>800</v>
      </c>
    </row>
    <row r="21" customFormat="false" ht="15" hidden="false" customHeight="false" outlineLevel="0" collapsed="false">
      <c r="B21" s="5" t="s">
        <v>241</v>
      </c>
      <c r="C21" s="5" t="s">
        <v>242</v>
      </c>
      <c r="D21" s="5" t="s">
        <v>227</v>
      </c>
      <c r="E21" s="5" t="s">
        <v>226</v>
      </c>
      <c r="F21" s="31" t="n">
        <v>50</v>
      </c>
    </row>
    <row r="22" customFormat="false" ht="15" hidden="false" customHeight="false" outlineLevel="0" collapsed="false">
      <c r="B22" s="5" t="s">
        <v>243</v>
      </c>
      <c r="C22" s="5" t="s">
        <v>244</v>
      </c>
      <c r="D22" s="5" t="s">
        <v>226</v>
      </c>
      <c r="E22" s="5" t="s">
        <v>167</v>
      </c>
      <c r="F22" s="31" t="n">
        <v>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4"/>
  </cols>
  <sheetData>
    <row r="1" customFormat="false" ht="17.35" hidden="false" customHeight="false" outlineLevel="0" collapsed="false">
      <c r="B1" s="1" t="s">
        <v>0</v>
      </c>
    </row>
    <row r="2" customFormat="false" ht="15" hidden="false" customHeight="false" outlineLevel="0" collapsed="false">
      <c r="B2" s="2" t="s">
        <v>245</v>
      </c>
    </row>
    <row r="3" customFormat="false" ht="15" hidden="false" customHeight="false" outlineLevel="0" collapsed="false">
      <c r="B3" s="3" t="s">
        <v>2</v>
      </c>
    </row>
    <row r="6" customFormat="false" ht="15" hidden="false" customHeight="false" outlineLevel="0" collapsed="false">
      <c r="B6" s="5" t="s">
        <v>246</v>
      </c>
      <c r="C6" s="6" t="n">
        <f aca="false">ROUND(ABS('Trial Balances'!E26)+ABS('Trial Balances'!F26)+ABS('Trial Balances'!G26),2)</f>
        <v>0</v>
      </c>
    </row>
    <row r="7" customFormat="false" ht="15" hidden="false" customHeight="false" outlineLevel="0" collapsed="false">
      <c r="B7" s="5" t="s">
        <v>247</v>
      </c>
      <c r="C7" s="6" t="n">
        <f aca="false">ROUND(ABS(Eliminations!F44),2)</f>
        <v>0</v>
      </c>
    </row>
    <row r="8" customFormat="false" ht="15" hidden="false" customHeight="false" outlineLevel="0" collapsed="false">
      <c r="B8" s="5" t="s">
        <v>248</v>
      </c>
      <c r="C8" s="6" t="n">
        <f aca="false">ROUND(ABS(Consolidation!I30),2)</f>
        <v>0</v>
      </c>
    </row>
    <row r="9" customFormat="false" ht="15" hidden="false" customHeight="false" outlineLevel="0" collapsed="false">
      <c r="B9" s="5" t="s">
        <v>249</v>
      </c>
      <c r="C9" s="6" t="n">
        <f aca="false">ROUND(ABS(Consolidation!I8)+ABS(Consolidation!I15),2)</f>
        <v>0</v>
      </c>
    </row>
    <row r="10" customFormat="false" ht="15" hidden="false" customHeight="false" outlineLevel="0" collapsed="false">
      <c r="B10" s="5" t="s">
        <v>250</v>
      </c>
      <c r="C10" s="6" t="n">
        <f aca="false">ROUND(ABS(Consolidation!I22)+ABS(Consolidation!I26),2)</f>
        <v>0</v>
      </c>
    </row>
    <row r="11" customFormat="false" ht="15" hidden="false" customHeight="false" outlineLevel="0" collapsed="false">
      <c r="B11" s="5" t="s">
        <v>251</v>
      </c>
      <c r="C11" s="6" t="n">
        <f aca="false">ROUND(ABS(Consolidation!I11),2)</f>
        <v>0</v>
      </c>
    </row>
    <row r="12" customFormat="false" ht="15" hidden="false" customHeight="false" outlineLevel="0" collapsed="false">
      <c r="B12" s="5" t="s">
        <v>252</v>
      </c>
      <c r="C12" s="6" t="n">
        <f aca="false">ROUND(ABS(Consolidation!I23),2)</f>
        <v>0</v>
      </c>
    </row>
    <row r="13" customFormat="false" ht="15" hidden="false" customHeight="false" outlineLevel="0" collapsed="false">
      <c r="B13" s="5" t="s">
        <v>253</v>
      </c>
      <c r="C13" s="6" t="n">
        <f aca="false">ROUND(ABS(Consolidation!I12-Associates!F31),2)</f>
        <v>0</v>
      </c>
    </row>
    <row r="14" customFormat="false" ht="15" hidden="false" customHeight="false" outlineLevel="0" collapsed="false">
      <c r="B14" s="5" t="s">
        <v>254</v>
      </c>
      <c r="C14" s="6" t="n">
        <f aca="false">ROUND(ABS(Associates!F39),2)</f>
        <v>0</v>
      </c>
    </row>
    <row r="15" customFormat="false" ht="15" hidden="false" customHeight="false" outlineLevel="0" collapsed="false">
      <c r="B15" s="5" t="s">
        <v>255</v>
      </c>
      <c r="C15" s="6" t="n">
        <f aca="false">ROUND(ABS('Consolidated BS'!C29),2)</f>
        <v>0</v>
      </c>
    </row>
    <row r="17" customFormat="false" ht="15" hidden="false" customHeight="false" outlineLevel="0" collapsed="false">
      <c r="B17" s="7" t="s">
        <v>256</v>
      </c>
      <c r="C17" s="7" t="str">
        <f aca="false">IF(SUM(C6:C15)=0,"OK","ERROR")</f>
        <v>OK</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2026-10-20T11:49:16Z</dcterms:created>
  <dc:creator>openpyxl</dc:creator>
  <dc:description/>
  <dc:language>en-US</dc:language>
  <cp:lastModifiedBy/>
  <dcterms:modified xsi:type="dcterms:W3CDTF">2026-10-20T11:49:16Z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